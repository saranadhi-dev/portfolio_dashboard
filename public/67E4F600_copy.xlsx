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yanshu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<sst xmlns="http://schemas.openxmlformats.org/spreadsheetml/2006/main" count="137" uniqueCount="104">
  <si>
    <t xml:space="preserve">Core Fundamentals</t>
  </si>
  <si>
    <t xml:space="preserve">Growth (3 years</t>
  </si>
  <si>
    <t xml:space="preserve">No</t>
  </si>
  <si>
    <t xml:space="preserve">Particulars</t>
  </si>
  <si>
    <t xml:space="preserve">Purchase Price</t>
  </si>
  <si>
    <t xml:space="preserve">Qty</t>
  </si>
  <si>
    <t xml:space="preserve">Investment</t>
  </si>
  <si>
    <t xml:space="preserve">Portfolio (%)</t>
  </si>
  <si>
    <t xml:space="preserve">NSE/BSE</t>
  </si>
  <si>
    <t xml:space="preserve">CMP</t>
  </si>
  <si>
    <t xml:space="preserve">Present value</t>
  </si>
  <si>
    <t xml:space="preserve">Gain/Loss</t>
  </si>
  <si>
    <t xml:space="preserve">Gain/Loss
(%)</t>
  </si>
  <si>
    <t xml:space="preserve">Market Cap</t>
  </si>
  <si>
    <t xml:space="preserve">P/E (TTM)</t>
  </si>
  <si>
    <t xml:space="preserve">Latest Earnings</t>
  </si>
  <si>
    <t xml:space="preserve">Revenue (TTM)</t>
  </si>
  <si>
    <t xml:space="preserve">EBITDA
(TTM)</t>
  </si>
  <si>
    <t xml:space="preserve">EBITDA (%)</t>
  </si>
  <si>
    <t xml:space="preserve">PAT</t>
  </si>
  <si>
    <t xml:space="preserve">PAT (%)</t>
  </si>
  <si>
    <t xml:space="preserve">CFO (March 24)</t>
  </si>
  <si>
    <t xml:space="preserve">CFO 
(5 years)</t>
  </si>
  <si>
    <t xml:space="preserve">Free Cash Flow
(5 years)</t>
  </si>
  <si>
    <t xml:space="preserve">Debt to Equity</t>
  </si>
  <si>
    <t xml:space="preserve">Book Value</t>
  </si>
  <si>
    <t xml:space="preserve">Revenue</t>
  </si>
  <si>
    <t xml:space="preserve">EBITDA</t>
  </si>
  <si>
    <t xml:space="preserve">Profit</t>
  </si>
  <si>
    <t xml:space="preserve">Market
Cap</t>
  </si>
  <si>
    <t xml:space="preserve">Price to Sales</t>
  </si>
  <si>
    <t xml:space="preserve">CFO to EBITDA</t>
  </si>
  <si>
    <t xml:space="preserve">CFO to PAT</t>
  </si>
  <si>
    <t xml:space="preserve">Price to book</t>
  </si>
  <si>
    <t xml:space="preserve">Stage-2</t>
  </si>
  <si>
    <t xml:space="preserve">Sale price</t>
  </si>
  <si>
    <t xml:space="preserve">Abhishek</t>
  </si>
  <si>
    <t xml:space="preserve">Financial Sector</t>
  </si>
  <si>
    <t xml:space="preserve">HDFC Bank</t>
  </si>
  <si>
    <t xml:space="preserve">HDFCBANK</t>
  </si>
  <si>
    <t xml:space="preserve">Yes</t>
  </si>
  <si>
    <t xml:space="preserve">Bajaj Finance</t>
  </si>
  <si>
    <t xml:space="preserve">BAJFINANCE</t>
  </si>
  <si>
    <t xml:space="preserve">Exit</t>
  </si>
  <si>
    <t xml:space="preserve">ICICI Bank</t>
  </si>
  <si>
    <t xml:space="preserve">ICICIBANK</t>
  </si>
  <si>
    <t xml:space="preserve">Bajaj Housing</t>
  </si>
  <si>
    <t xml:space="preserve">BAJAJHFL</t>
  </si>
  <si>
    <t xml:space="preserve">NA</t>
  </si>
  <si>
    <t xml:space="preserve">Savani Financials</t>
  </si>
  <si>
    <t xml:space="preserve">Tech Sector</t>
  </si>
  <si>
    <t xml:space="preserve">Affle India</t>
  </si>
  <si>
    <t xml:space="preserve">AFFLE</t>
  </si>
  <si>
    <t xml:space="preserve">LTI Mindtree</t>
  </si>
  <si>
    <t xml:space="preserve">LTIM</t>
  </si>
  <si>
    <t xml:space="preserve">KPIT Tech</t>
  </si>
  <si>
    <t xml:space="preserve">KPIT</t>
  </si>
  <si>
    <t xml:space="preserve">Must exit</t>
  </si>
  <si>
    <t xml:space="preserve">Tata Tech</t>
  </si>
  <si>
    <t xml:space="preserve">TATATECH</t>
  </si>
  <si>
    <t xml:space="preserve">BLS E-Services</t>
  </si>
  <si>
    <t xml:space="preserve">BLSE</t>
  </si>
  <si>
    <t xml:space="preserve">Tanla </t>
  </si>
  <si>
    <t xml:space="preserve">TANLA</t>
  </si>
  <si>
    <t xml:space="preserve">Consumer </t>
  </si>
  <si>
    <t xml:space="preserve">Dmart</t>
  </si>
  <si>
    <t xml:space="preserve">DMART</t>
  </si>
  <si>
    <t xml:space="preserve">Must Exit</t>
  </si>
  <si>
    <t xml:space="preserve">Tata Consumer</t>
  </si>
  <si>
    <t xml:space="preserve">TATACONSUM</t>
  </si>
  <si>
    <t xml:space="preserve">Pidilite</t>
  </si>
  <si>
    <t xml:space="preserve">PIDILITIND</t>
  </si>
  <si>
    <t xml:space="preserve">Power</t>
  </si>
  <si>
    <t xml:space="preserve">Tata Power</t>
  </si>
  <si>
    <t xml:space="preserve">TATAPOWER</t>
  </si>
  <si>
    <t xml:space="preserve">KPI Green</t>
  </si>
  <si>
    <t xml:space="preserve">KPIGREEN</t>
  </si>
  <si>
    <t xml:space="preserve">Suzlon</t>
  </si>
  <si>
    <t xml:space="preserve">SUZLON</t>
  </si>
  <si>
    <t xml:space="preserve">Gensol</t>
  </si>
  <si>
    <t xml:space="preserve">GENSOL</t>
  </si>
  <si>
    <t xml:space="preserve">Pipe Sector</t>
  </si>
  <si>
    <t xml:space="preserve">Hariom Pipes</t>
  </si>
  <si>
    <t xml:space="preserve">HARIOMPIPE</t>
  </si>
  <si>
    <t xml:space="preserve">Astral</t>
  </si>
  <si>
    <t xml:space="preserve">ASTRAL</t>
  </si>
  <si>
    <t xml:space="preserve">Polycab</t>
  </si>
  <si>
    <t xml:space="preserve">POLYCAB</t>
  </si>
  <si>
    <t xml:space="preserve">Others</t>
  </si>
  <si>
    <t xml:space="preserve">Clean Science</t>
  </si>
  <si>
    <t xml:space="preserve">CLEAN</t>
  </si>
  <si>
    <t xml:space="preserve">Deepak Nitrite</t>
  </si>
  <si>
    <t xml:space="preserve">DEEPAKNTR</t>
  </si>
  <si>
    <t xml:space="preserve">Fine Organic</t>
  </si>
  <si>
    <t xml:space="preserve">FINEORG</t>
  </si>
  <si>
    <t xml:space="preserve">Gravita</t>
  </si>
  <si>
    <t xml:space="preserve">GRAVITA</t>
  </si>
  <si>
    <t xml:space="preserve">SBI Life</t>
  </si>
  <si>
    <t xml:space="preserve">SBILIFE</t>
  </si>
  <si>
    <t xml:space="preserve">Sold Price</t>
  </si>
  <si>
    <t xml:space="preserve">Infy</t>
  </si>
  <si>
    <t xml:space="preserve">INFY</t>
  </si>
  <si>
    <t xml:space="preserve">Easemytrip</t>
  </si>
  <si>
    <t xml:space="preserve">EASEMYTRIP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</si>
</sst>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@"/>
    <numFmt numFmtId="166" formatCode="#,##0.00"/>
    <numFmt numFmtId="167" formatCode="General"/>
    <numFmt numFmtId="168" formatCode="0%"/>
    <numFmt numFmtId="169" formatCode="0"/>
    <numFmt numFmtId="170" formatCode="0.00%"/>
    <numFmt numFmtId="171" formatCode="#,##0"/>
    <numFmt numFmtId="172" formatCode="0.00"/>
    <numFmt numFmtId="173" formatCode="0.0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&quot;Aptos Narrow&quot;"/>
      <family val="0"/>
      <charset val="1"/>
    </font>
    <font>
      <sz val="10"/>
      <color theme="1"/>
      <name val="__fkGroteskNeue_598ab8"/>
      <family val="0"/>
      <charset val="1"/>
    </font>
    <font>
      <sz val="11"/>
      <color rgb="FF000000"/>
      <name val="Calibri"/>
      <family val="0"/>
      <charset val="1"/>
    </font>
    <font>
      <sz val="10"/>
      <color rgb="FF434343"/>
      <name val="Roboto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0"/>
      <color rgb="FF434343"/>
      <name val="Roboto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AD3"/>
        <bgColor rgb="FFF1F3F4"/>
      </patternFill>
    </fill>
    <fill>
      <patternFill patternType="solid">
        <fgColor rgb="FFFF0000"/>
        <bgColor rgb="FF993300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  <fill>
      <patternFill patternType="solid">
        <fgColor rgb="FFF1F3F4"/>
        <bgColor rgb="FFF8F9FA"/>
      </patternFill>
    </fill>
    <fill>
      <patternFill patternType="solid">
        <fgColor rgb="FF94DCF8"/>
        <bgColor rgb="FFB6D7A8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 diagonalUp="false" diagonalDown="false"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 diagonalUp="false" diagonalDown="false"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 diagonalUp="false" diagonalDown="false">
      <left style="thin">
        <color rgb="FF284E3F"/>
      </left>
      <right style="thin">
        <color rgb="FFD9EAD3"/>
      </right>
      <top style="thin">
        <color rgb="FFD9EAD3"/>
      </top>
      <bottom style="thin">
        <color rgb="FFD9EAD3"/>
      </bottom>
      <diagonal/>
    </border>
    <border diagonalUp="false" diagonalDown="false"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 diagonalUp="false" diagonalDown="false"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 diagonalUp="false" diagonalDown="false"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  <diagonal/>
    </border>
    <border diagonalUp="false" diagonalDown="false"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 diagonalUp="false" diagonalDown="false">
      <left style="thin">
        <color rgb="FFEA9999"/>
      </left>
      <right style="thin">
        <color rgb="FFEA9999"/>
      </right>
      <top style="thin">
        <color rgb="FFEA9999"/>
      </top>
      <bottom style="thin">
        <color rgb="FFEA9999"/>
      </bottom>
      <diagonal/>
    </border>
    <border diagonalUp="false" diagonalDown="false"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  <diagonal/>
    </border>
    <border diagonalUp="false" diagonalDown="false"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 diagonalUp="false" diagonalDown="false"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EA9999"/>
      </left>
      <right style="thin">
        <color rgb="FF284E3F"/>
      </right>
      <top style="thin">
        <color rgb="FFEA9999"/>
      </top>
      <bottom style="thin">
        <color rgb="FFEA9999"/>
      </bottom>
      <diagonal/>
    </border>
    <border diagonalUp="false" diagonalDown="false">
      <left style="thin">
        <color rgb="FFFF0000"/>
      </left>
      <right style="thin">
        <color rgb="FF284E3F"/>
      </right>
      <top style="thin">
        <color rgb="FFFF0000"/>
      </top>
      <bottom style="thin">
        <color rgb="FFFF0000"/>
      </bottom>
      <diagonal/>
    </border>
    <border diagonalUp="false" diagonalDown="false">
      <left style="thin">
        <color rgb="FFD9EAD3"/>
      </left>
      <right style="thin">
        <color rgb="FF284E3F"/>
      </right>
      <top style="thin">
        <color rgb="FFD9EAD3"/>
      </top>
      <bottom style="thin">
        <color rgb="FFD9EAD3"/>
      </bottom>
      <diagonal/>
    </border>
    <border diagonalUp="false" diagonalDown="false">
      <left style="thin">
        <color rgb="FF284E3F"/>
      </left>
      <right style="thin">
        <color rgb="FFF1F3F4"/>
      </right>
      <top style="double">
        <color rgb="FF284E3F"/>
      </top>
      <bottom style="thin">
        <color rgb="FF284E3F"/>
      </bottom>
      <diagonal/>
    </border>
    <border diagonalUp="false" diagonalDown="false">
      <left style="thin">
        <color rgb="FFF1F3F4"/>
      </left>
      <right style="thin">
        <color rgb="FFF1F3F4"/>
      </right>
      <top style="double">
        <color rgb="FF284E3F"/>
      </top>
      <bottom style="thin">
        <color rgb="FF284E3F"/>
      </bottom>
      <diagonal/>
    </border>
    <border diagonalUp="false" diagonalDown="false">
      <left style="thin">
        <color rgb="FFF1F3F4"/>
      </left>
      <right style="thin">
        <color rgb="FF284E3F"/>
      </right>
      <top style="double">
        <color rgb="FF284E3F"/>
      </top>
      <bottom style="thin">
        <color rgb="FF284E3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5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4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5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0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0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0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5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5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5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5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5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5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0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0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0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5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5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5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5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0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0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0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5" fillId="3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5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5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11" fillId="5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5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5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4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" fillId="2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3" fillId="2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1" fillId="2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3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1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5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5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0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5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1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7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6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" fillId="6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" fillId="6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6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6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1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1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0">
    <dxf>
      <fill>
        <patternFill patternType="solid">
          <fgColor rgb="FFD9EAD3"/>
          <bgColor rgb="FF000000"/>
        </patternFill>
      </fill>
    </dxf>
    <dxf>
      <fill>
        <patternFill patternType="solid">
          <fgColor rgb="FFF1F3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4DC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34343"/>
          <bgColor rgb="FF000000"/>
        </patternFill>
      </fill>
    </dxf>
    <dxf>
      <fill>
        <patternFill patternType="solid">
          <fgColor rgb="FFB6D7A8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EA9999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>
          <bgColor rgb="FFB6D7A8"/>
        </patternFill>
      </fill>
    </dxf>
    <dxf>
      <fill>
        <patternFill>
          <bgColor rgb="FFF4CCCC"/>
        </patternFill>
      </fill>
    </dxf>
    <dxf>
      <fill>
        <patternFill>
          <bgColor rgb="FFFF0000"/>
        </patternFill>
      </fill>
    </dxf>
    <dxf>
      <fill>
        <patternFill>
          <bgColor rgb="FFEA999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A9999"/>
        </patternFill>
      </fill>
    </dxf>
    <dxf>
      <fill>
        <patternFill>
          <bgColor rgb="FFEA9999"/>
        </patternFill>
      </fill>
    </dxf>
    <dxf>
      <fill>
        <patternFill>
          <bgColor rgb="FFF4CCCC"/>
        </patternFill>
      </fill>
    </dxf>
    <dxf>
      <fill>
        <patternFill>
          <bgColor rgb="FFFF0000"/>
        </patternFill>
      </fill>
    </dxf>
    <dxf>
      <fill>
        <patternFill>
          <bgColor rgb="FFF4CCCC"/>
        </patternFill>
      </fill>
    </dxf>
    <dxf>
      <fill>
        <patternFill>
          <bgColor rgb="FFFF0000"/>
        </patternFill>
      </fill>
    </dxf>
    <dxf>
      <fill>
        <patternFill>
          <bgColor rgb="FFEA999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8F9FA"/>
      <rgbColor rgb="FFF1F3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4DCF8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356854"/>
      <rgbColor rgb="FF969696"/>
      <rgbColor rgb="FF003366"/>
      <rgbColor rgb="FF339966"/>
      <rgbColor rgb="FF003300"/>
      <rgbColor rgb="FF284E3F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Investment" displayName="Investment" ref="A2:AI35" headerRowCount="1" totalsRowCount="1" totalsRowShown="1">
  <tableColumns count="35">
    <tableColumn id="1" name="No"/>
    <tableColumn id="2" name="Particulars"/>
    <tableColumn id="3" name="Purchase Price"/>
    <tableColumn id="4" name="Qty"/>
    <tableColumn id="5" name="Investment" totalsRowFunction="custom"/>
    <tableColumn id="6" name="Portfolio (%)" totalsRowFunction="custom"/>
    <tableColumn id="7" name="NSE/BSE"/>
    <tableColumn id="8" name="CMP"/>
    <tableColumn id="9" name="Present value" totalsRowFunction="custom"/>
    <tableColumn id="10" name="Gain/Loss" totalsRowFunction="custom"/>
    <tableColumn id="11" name="Gain/Loss&#10;(%)" totalsRowFunction="custom"/>
    <tableColumn id="12" name="Market Cap"/>
    <tableColumn id="13" name="P/E (TTM)"/>
    <tableColumn id="14" name="Latest Earnings"/>
    <tableColumn id="15" name="Revenue (TTM)"/>
    <tableColumn id="16" name="EBITDA&#10;(TTM)"/>
    <tableColumn id="17" name="EBITDA (%)"/>
    <tableColumn id="18" name="PAT"/>
    <tableColumn id="19" name="PAT (%)"/>
    <tableColumn id="20" name="CFO (March 24)"/>
    <tableColumn id="21" name="CFO &#10;(5 years)"/>
    <tableColumn id="22" name="Free Cash Flow&#10;(5 years)"/>
    <tableColumn id="23" name="Debt to Equity"/>
    <tableColumn id="24" name="Book Value"/>
    <tableColumn id="25" name="Revenue"/>
    <tableColumn id="26" name="EBITDA"/>
    <tableColumn id="27" name="Profit"/>
    <tableColumn id="28" name="Market&#10;Cap"/>
    <tableColumn id="29" name="Price to Sales"/>
    <tableColumn id="30" name="CFO to EBITDA"/>
    <tableColumn id="31" name="CFO to PAT"/>
    <tableColumn id="32" name="Price to book"/>
    <tableColumn id="33" name="Stage-2"/>
    <tableColumn id="34" name="Sale price"/>
    <tableColumn id="35" name="Abhishek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Y24" activePane="bottomRight" state="frozen"/>
      <selection pane="topLeft" activeCell="A1" activeCellId="0" sqref="A1"/>
      <selection pane="topRight" activeCell="Y1" activeCellId="0" sqref="Y1"/>
      <selection pane="bottomLeft" activeCell="A24" activeCellId="0" sqref="A24"/>
      <selection pane="bottomRight" activeCell="A39" activeCellId="0" sqref="A39:AI39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4.27"/>
    <col collapsed="false" customWidth="true" hidden="false" outlineLevel="0" max="2" min="2" style="1" width="37.63"/>
    <col collapsed="false" customWidth="true" hidden="false" outlineLevel="0" max="3" min="3" style="1" width="15.73"/>
    <col collapsed="false" customWidth="true" hidden="false" outlineLevel="0" max="4" min="4" style="1" width="11.27"/>
    <col collapsed="false" customWidth="true" hidden="false" outlineLevel="0" max="5" min="5" style="1" width="17"/>
    <col collapsed="false" customWidth="true" hidden="false" outlineLevel="0" max="6" min="6" style="1" width="16.09"/>
    <col collapsed="false" customWidth="true" hidden="false" outlineLevel="0" max="7" min="7" style="1" width="19.33"/>
    <col collapsed="false" customWidth="true" hidden="false" outlineLevel="0" max="8" min="8" style="1" width="12.36"/>
    <col collapsed="false" customWidth="true" hidden="false" outlineLevel="0" max="9" min="9" style="1" width="12.45"/>
    <col collapsed="false" customWidth="true" hidden="false" outlineLevel="0" max="10" min="10" style="1" width="11.27"/>
    <col collapsed="false" customWidth="true" hidden="false" outlineLevel="0" max="11" min="11" style="1" width="16.36"/>
    <col collapsed="false" customWidth="true" hidden="false" outlineLevel="0" max="12" min="12" style="1" width="15"/>
    <col collapsed="false" customWidth="true" hidden="false" outlineLevel="0" max="13" min="13" style="1" width="10.63"/>
    <col collapsed="false" customWidth="true" hidden="false" outlineLevel="0" max="14" min="14" style="1" width="12.45"/>
    <col collapsed="false" customWidth="true" hidden="false" outlineLevel="0" max="15" min="15" style="1" width="15"/>
    <col collapsed="false" customWidth="true" hidden="false" outlineLevel="0" max="16" min="16" style="1" width="11.73"/>
    <col collapsed="false" customWidth="true" hidden="false" outlineLevel="0" max="17" min="17" style="1" width="11.45"/>
    <col collapsed="false" customWidth="true" hidden="false" outlineLevel="0" max="18" min="18" style="1" width="13.09"/>
    <col collapsed="false" customWidth="true" hidden="false" outlineLevel="0" max="19" min="19" style="1" width="10"/>
    <col collapsed="false" customWidth="true" hidden="false" outlineLevel="0" max="20" min="20" style="1" width="12.36"/>
    <col collapsed="false" customWidth="true" hidden="false" outlineLevel="0" max="21" min="21" style="1" width="13.09"/>
    <col collapsed="false" customWidth="true" hidden="false" outlineLevel="0" max="22" min="22" style="1" width="15.63"/>
    <col collapsed="false" customWidth="true" hidden="false" outlineLevel="0" max="23" min="23" style="1" width="10"/>
    <col collapsed="false" customWidth="true" hidden="false" outlineLevel="0" max="24" min="24" style="1" width="14"/>
    <col collapsed="false" customWidth="true" hidden="false" outlineLevel="0" max="25" min="25" style="1" width="12.27"/>
    <col collapsed="false" customWidth="true" hidden="false" outlineLevel="0" max="26" min="26" style="1" width="12.45"/>
    <col collapsed="false" customWidth="true" hidden="false" outlineLevel="0" max="27" min="27" style="1" width="11.91"/>
    <col collapsed="false" customWidth="true" hidden="false" outlineLevel="0" max="28" min="28" style="1" width="10.91"/>
    <col collapsed="false" customWidth="true" hidden="false" outlineLevel="0" max="29" min="29" style="1" width="13.73"/>
    <col collapsed="false" customWidth="true" hidden="false" outlineLevel="0" max="30" min="30" style="1" width="15"/>
    <col collapsed="false" customWidth="true" hidden="false" outlineLevel="0" max="32" min="31" style="1" width="13.45"/>
  </cols>
  <sheetData>
    <row r="1" customFormat="false" ht="15.75" hidden="false" customHeight="false" outlineLevel="0" collapsed="false">
      <c r="A1" s="2"/>
      <c r="B1" s="2"/>
      <c r="C1" s="3"/>
      <c r="D1" s="3"/>
      <c r="E1" s="3"/>
      <c r="F1" s="4"/>
      <c r="G1" s="4"/>
      <c r="H1" s="3"/>
      <c r="I1" s="3"/>
      <c r="J1" s="3"/>
      <c r="K1" s="5"/>
      <c r="L1" s="5"/>
      <c r="M1" s="5"/>
      <c r="N1" s="6"/>
      <c r="O1" s="7" t="s">
        <v>0</v>
      </c>
      <c r="P1" s="7"/>
      <c r="Q1" s="7"/>
      <c r="R1" s="7"/>
      <c r="S1" s="7"/>
      <c r="T1" s="7"/>
      <c r="U1" s="7"/>
      <c r="V1" s="5"/>
      <c r="W1" s="5"/>
      <c r="X1" s="8"/>
      <c r="Y1" s="9" t="s">
        <v>1</v>
      </c>
      <c r="Z1" s="9"/>
      <c r="AA1" s="9"/>
      <c r="AB1" s="9"/>
      <c r="AC1" s="5"/>
      <c r="AD1" s="5"/>
      <c r="AE1" s="5"/>
    </row>
    <row r="2" customFormat="false" ht="15.75" hidden="false" customHeight="true" outlineLevel="0" collapsed="false">
      <c r="A2" s="10" t="s">
        <v>2</v>
      </c>
      <c r="B2" s="11" t="s">
        <v>3</v>
      </c>
      <c r="C2" s="12" t="s">
        <v>4</v>
      </c>
      <c r="D2" s="13" t="s">
        <v>5</v>
      </c>
      <c r="E2" s="13" t="s">
        <v>6</v>
      </c>
      <c r="F2" s="14" t="s">
        <v>7</v>
      </c>
      <c r="G2" s="15" t="s">
        <v>8</v>
      </c>
      <c r="H2" s="13" t="s">
        <v>9</v>
      </c>
      <c r="I2" s="12" t="s">
        <v>10</v>
      </c>
      <c r="J2" s="13" t="s">
        <v>11</v>
      </c>
      <c r="K2" s="16" t="s">
        <v>12</v>
      </c>
      <c r="L2" s="16" t="s">
        <v>13</v>
      </c>
      <c r="M2" s="16" t="s">
        <v>14</v>
      </c>
      <c r="N2" s="16" t="s">
        <v>15</v>
      </c>
      <c r="O2" s="16" t="s">
        <v>16</v>
      </c>
      <c r="P2" s="16" t="s">
        <v>17</v>
      </c>
      <c r="Q2" s="16" t="s">
        <v>18</v>
      </c>
      <c r="R2" s="16" t="s">
        <v>19</v>
      </c>
      <c r="S2" s="16" t="s">
        <v>20</v>
      </c>
      <c r="T2" s="16" t="s">
        <v>21</v>
      </c>
      <c r="U2" s="16" t="s">
        <v>22</v>
      </c>
      <c r="V2" s="16" t="s">
        <v>23</v>
      </c>
      <c r="W2" s="16" t="s">
        <v>24</v>
      </c>
      <c r="X2" s="17" t="s">
        <v>25</v>
      </c>
      <c r="Y2" s="16" t="s">
        <v>26</v>
      </c>
      <c r="Z2" s="16" t="s">
        <v>27</v>
      </c>
      <c r="AA2" s="16" t="s">
        <v>28</v>
      </c>
      <c r="AB2" s="16" t="s">
        <v>29</v>
      </c>
      <c r="AC2" s="16" t="s">
        <v>30</v>
      </c>
      <c r="AD2" s="16" t="s">
        <v>31</v>
      </c>
      <c r="AE2" s="16" t="s">
        <v>32</v>
      </c>
      <c r="AF2" s="16" t="s">
        <v>33</v>
      </c>
      <c r="AG2" s="16" t="s">
        <v>34</v>
      </c>
      <c r="AH2" s="13" t="s">
        <v>35</v>
      </c>
      <c r="AI2" s="18" t="s">
        <v>36</v>
      </c>
    </row>
    <row r="3" customFormat="false" ht="15.75" hidden="false" customHeight="true" outlineLevel="0" collapsed="false">
      <c r="A3" s="19"/>
      <c r="B3" s="20" t="s">
        <v>37</v>
      </c>
      <c r="C3" s="21"/>
      <c r="D3" s="21"/>
      <c r="E3" s="22" t="n">
        <f aca="false">SUM(E4:E8)</f>
        <v>328450</v>
      </c>
      <c r="F3" s="23" t="n">
        <f aca="false">SUM(F4:F8)</f>
        <v>0.212856272601195</v>
      </c>
      <c r="G3" s="24"/>
      <c r="H3" s="25"/>
      <c r="I3" s="22" t="n">
        <f aca="false">SUM(I4:I8)</f>
        <v>386328.7</v>
      </c>
      <c r="J3" s="22" t="n">
        <f aca="false">SUM(J4:J8)</f>
        <v>57878.7</v>
      </c>
      <c r="K3" s="26" t="n">
        <f aca="false">J3/E3</f>
        <v>0.176217689145989</v>
      </c>
      <c r="L3" s="27"/>
      <c r="M3" s="28"/>
      <c r="N3" s="28"/>
      <c r="O3" s="29"/>
      <c r="P3" s="30"/>
      <c r="Q3" s="31"/>
      <c r="R3" s="29"/>
      <c r="S3" s="31"/>
      <c r="T3" s="30"/>
      <c r="U3" s="30"/>
      <c r="V3" s="30"/>
      <c r="W3" s="30"/>
      <c r="X3" s="29"/>
      <c r="Y3" s="32"/>
      <c r="Z3" s="32"/>
      <c r="AA3" s="32"/>
      <c r="AB3" s="31"/>
      <c r="AC3" s="33"/>
      <c r="AD3" s="34"/>
      <c r="AE3" s="34"/>
      <c r="AF3" s="35"/>
      <c r="AG3" s="36"/>
      <c r="AH3" s="36"/>
      <c r="AI3" s="37"/>
    </row>
    <row r="4" customFormat="false" ht="15.75" hidden="false" customHeight="true" outlineLevel="0" collapsed="false">
      <c r="A4" s="38" t="n">
        <v>1</v>
      </c>
      <c r="B4" s="39" t="s">
        <v>38</v>
      </c>
      <c r="C4" s="40" t="n">
        <v>1490</v>
      </c>
      <c r="D4" s="40" t="n">
        <v>50</v>
      </c>
      <c r="E4" s="41" t="n">
        <f aca="false">C4*D4</f>
        <v>74500</v>
      </c>
      <c r="F4" s="42" t="n">
        <f aca="false">E4/$E$35</f>
        <v>0.0482806890205177</v>
      </c>
      <c r="G4" s="43" t="s">
        <v>39</v>
      </c>
      <c r="H4" s="44" t="n">
        <f aca="false">IFERROR(__xludf.dummyfunction("GOOGLEFINANCE(""HDFCBANK"")"),1700.15)</f>
        <v>1700.15</v>
      </c>
      <c r="I4" s="41" t="n">
        <f aca="false">H4*D4</f>
        <v>85007.5</v>
      </c>
      <c r="J4" s="45" t="n">
        <f aca="false">I4-E4</f>
        <v>10507.5</v>
      </c>
      <c r="K4" s="46" t="n">
        <f aca="false">J4/E4</f>
        <v>0.141040268456376</v>
      </c>
      <c r="L4" s="47" t="n">
        <f aca="false">IFERROR(__xludf.dummyfunction("GOOGLEFINANCE(""HDFCBANK"",""marketcap"")/10^7"),1300795.8620238)</f>
        <v>1300795.8620238</v>
      </c>
      <c r="M4" s="48" t="n">
        <f aca="false">IFERROR(__xludf.dummyfunction("GOOGLEFINANCE(""HDFCBANK"",""PE"")"),18.69)</f>
        <v>18.69</v>
      </c>
      <c r="N4" s="48" t="n">
        <f aca="false">IFERROR(__xludf.dummyfunction("GOOGLEFINANCE(""HDFCBANK"",""EPS"")"),91.02)</f>
        <v>91.02</v>
      </c>
      <c r="O4" s="49" t="n">
        <v>321990</v>
      </c>
      <c r="P4" s="50" t="n">
        <v>106757</v>
      </c>
      <c r="Q4" s="51" t="n">
        <v>0.33</v>
      </c>
      <c r="R4" s="49" t="n">
        <v>69181</v>
      </c>
      <c r="S4" s="51" t="n">
        <v>0.21</v>
      </c>
      <c r="T4" s="52" t="n">
        <v>-3983</v>
      </c>
      <c r="U4" s="50" t="n">
        <v>85155</v>
      </c>
      <c r="V4" s="50"/>
      <c r="W4" s="50" t="n">
        <v>7</v>
      </c>
      <c r="X4" s="49" t="n">
        <v>692.74</v>
      </c>
      <c r="Y4" s="53" t="n">
        <v>0.3019</v>
      </c>
      <c r="Z4" s="53" t="n">
        <v>0.5023</v>
      </c>
      <c r="AA4" s="53" t="n">
        <v>0.2625</v>
      </c>
      <c r="AB4" s="51" t="n">
        <v>0.1</v>
      </c>
      <c r="AC4" s="54" t="n">
        <f aca="false">L4/O4</f>
        <v>4.03986416355725</v>
      </c>
      <c r="AD4" s="55" t="n">
        <f aca="false">P4/T4</f>
        <v>-26.8031634446397</v>
      </c>
      <c r="AE4" s="56" t="n">
        <f aca="false">R4/T4</f>
        <v>-17.3690685413005</v>
      </c>
      <c r="AF4" s="57" t="n">
        <f aca="false">H4/X4</f>
        <v>2.45423968588504</v>
      </c>
      <c r="AG4" s="58" t="s">
        <v>40</v>
      </c>
      <c r="AH4" s="58"/>
      <c r="AI4" s="59"/>
    </row>
    <row r="5" customFormat="false" ht="15.75" hidden="false" customHeight="true" outlineLevel="0" collapsed="false">
      <c r="A5" s="60" t="n">
        <v>2</v>
      </c>
      <c r="B5" s="61" t="s">
        <v>41</v>
      </c>
      <c r="C5" s="62" t="n">
        <v>6466</v>
      </c>
      <c r="D5" s="62" t="n">
        <v>15</v>
      </c>
      <c r="E5" s="63" t="n">
        <f aca="false">C5*D5</f>
        <v>96990</v>
      </c>
      <c r="F5" s="64" t="n">
        <f aca="false">E5/$E$35</f>
        <v>0.0628556245382552</v>
      </c>
      <c r="G5" s="65" t="s">
        <v>42</v>
      </c>
      <c r="H5" s="66" t="n">
        <f aca="false">IFERROR(__xludf.dummyfunction("GOOGLEFINANCE(""BAJFINANCE"")"),8419.6)</f>
        <v>8419.6</v>
      </c>
      <c r="I5" s="63" t="n">
        <f aca="false">H5*D5</f>
        <v>126294</v>
      </c>
      <c r="J5" s="45" t="n">
        <f aca="false">I5-E5</f>
        <v>29304</v>
      </c>
      <c r="K5" s="67" t="n">
        <f aca="false">J5/E5</f>
        <v>0.302134240643365</v>
      </c>
      <c r="L5" s="68" t="n">
        <f aca="false">IFERROR(__xludf.dummyfunction("GOOGLEFINANCE(""BAJFINANCE"",""marketcap"")/10^7"),521012.5074)</f>
        <v>521012.5074</v>
      </c>
      <c r="M5" s="69" t="n">
        <f aca="false">IFERROR(__xludf.dummyfunction("GOOGLEFINANCE(""BAJFINANCE"",""PE"")"),32.63)</f>
        <v>32.63</v>
      </c>
      <c r="N5" s="69" t="n">
        <f aca="false">IFERROR(__xludf.dummyfunction("GOOGLEFINANCE(""BAJFINANCE"",""EPS"")"),257.8)</f>
        <v>257.8</v>
      </c>
      <c r="O5" s="70" t="n">
        <v>62279</v>
      </c>
      <c r="P5" s="71" t="n">
        <v>43336</v>
      </c>
      <c r="Q5" s="72" t="n">
        <v>0.7</v>
      </c>
      <c r="R5" s="70" t="n">
        <v>15375</v>
      </c>
      <c r="S5" s="72" t="n">
        <v>0.25</v>
      </c>
      <c r="T5" s="71" t="n">
        <v>82415</v>
      </c>
      <c r="U5" s="71" t="n">
        <v>201273</v>
      </c>
      <c r="V5" s="71"/>
      <c r="W5" s="71" t="n">
        <v>4</v>
      </c>
      <c r="X5" s="70" t="n">
        <v>1252.78</v>
      </c>
      <c r="Y5" s="73" t="n">
        <v>0.2726</v>
      </c>
      <c r="Z5" s="73" t="n">
        <v>0.6823</v>
      </c>
      <c r="AA5" s="73" t="n">
        <v>0.4842</v>
      </c>
      <c r="AB5" s="72" t="n">
        <v>0.13</v>
      </c>
      <c r="AC5" s="74" t="n">
        <f aca="false">L5/O5</f>
        <v>8.3657815218613</v>
      </c>
      <c r="AD5" s="55" t="n">
        <f aca="false">P5/T5</f>
        <v>0.525826609233756</v>
      </c>
      <c r="AE5" s="56" t="n">
        <f aca="false">R5/T5</f>
        <v>0.18655584541649</v>
      </c>
      <c r="AF5" s="75" t="n">
        <f aca="false">H5/X5</f>
        <v>6.72073308960871</v>
      </c>
      <c r="AG5" s="76" t="s">
        <v>2</v>
      </c>
      <c r="AH5" s="77"/>
      <c r="AI5" s="78" t="s">
        <v>43</v>
      </c>
    </row>
    <row r="6" customFormat="false" ht="15.75" hidden="false" customHeight="true" outlineLevel="0" collapsed="false">
      <c r="A6" s="38" t="n">
        <v>3</v>
      </c>
      <c r="B6" s="39" t="s">
        <v>44</v>
      </c>
      <c r="C6" s="40" t="n">
        <v>780</v>
      </c>
      <c r="D6" s="40" t="n">
        <v>84</v>
      </c>
      <c r="E6" s="41" t="n">
        <f aca="false">C6*D6</f>
        <v>65520</v>
      </c>
      <c r="F6" s="42" t="n">
        <f aca="false">E6/$E$35</f>
        <v>0.0424610838204606</v>
      </c>
      <c r="G6" s="79" t="s">
        <v>45</v>
      </c>
      <c r="H6" s="44" t="n">
        <f aca="false">IFERROR(__xludf.dummyfunction("GOOGLEFINANCE(""532174"")"),1215.5)</f>
        <v>1215.5</v>
      </c>
      <c r="I6" s="41" t="n">
        <f aca="false">H6*D6</f>
        <v>102102</v>
      </c>
      <c r="J6" s="45" t="n">
        <f aca="false">I6-E6</f>
        <v>36582</v>
      </c>
      <c r="K6" s="46" t="n">
        <f aca="false">J6/E6</f>
        <v>0.558333333333333</v>
      </c>
      <c r="L6" s="47" t="n">
        <f aca="false">IFERROR(__xludf.dummyfunction("GOOGLEFINANCE(""532174"",""marketcap"")/10^7"),859583.5620095)</f>
        <v>859583.5620095</v>
      </c>
      <c r="M6" s="48" t="n">
        <f aca="false">IFERROR(__xludf.dummyfunction("GOOGLEFINANCE(""532174"",""PE"")"),17.68)</f>
        <v>17.68</v>
      </c>
      <c r="N6" s="48" t="n">
        <f aca="false">IFERROR(__xludf.dummyfunction("GOOGLEFINANCE(""532174"",""EPS"")"),68.72)</f>
        <v>68.72</v>
      </c>
      <c r="O6" s="49" t="n">
        <v>174379</v>
      </c>
      <c r="P6" s="50" t="n">
        <v>57238</v>
      </c>
      <c r="Q6" s="51" t="n">
        <v>0.33</v>
      </c>
      <c r="R6" s="49" t="n">
        <v>47368</v>
      </c>
      <c r="S6" s="51" t="n">
        <v>0.27</v>
      </c>
      <c r="T6" s="50" t="n">
        <v>13765</v>
      </c>
      <c r="U6" s="50" t="n">
        <v>4332</v>
      </c>
      <c r="V6" s="50"/>
      <c r="W6" s="50" t="n">
        <v>6</v>
      </c>
      <c r="X6" s="49" t="n">
        <v>365.79</v>
      </c>
      <c r="Y6" s="53" t="n">
        <v>0.214</v>
      </c>
      <c r="Z6" s="53" t="n">
        <v>0.2866</v>
      </c>
      <c r="AA6" s="53" t="n">
        <v>0.3402</v>
      </c>
      <c r="AB6" s="51" t="n">
        <v>0.24</v>
      </c>
      <c r="AC6" s="54" t="n">
        <f aca="false">L6/O6</f>
        <v>4.92939839091576</v>
      </c>
      <c r="AD6" s="80" t="n">
        <f aca="false">P6/T6</f>
        <v>4.15822738830367</v>
      </c>
      <c r="AE6" s="80" t="n">
        <f aca="false">R6/T6</f>
        <v>3.4411914275336</v>
      </c>
      <c r="AF6" s="75" t="n">
        <f aca="false">H6/X6</f>
        <v>3.32294485907215</v>
      </c>
      <c r="AG6" s="81" t="s">
        <v>40</v>
      </c>
      <c r="AH6" s="81"/>
      <c r="AI6" s="82"/>
    </row>
    <row r="7" customFormat="false" ht="15.75" hidden="false" customHeight="true" outlineLevel="0" collapsed="false">
      <c r="A7" s="60" t="n">
        <v>4</v>
      </c>
      <c r="B7" s="83" t="s">
        <v>46</v>
      </c>
      <c r="C7" s="62" t="n">
        <v>130</v>
      </c>
      <c r="D7" s="62" t="n">
        <v>504</v>
      </c>
      <c r="E7" s="63" t="n">
        <f aca="false">C7*D7</f>
        <v>65520</v>
      </c>
      <c r="F7" s="64" t="n">
        <f aca="false">E7/$E$35</f>
        <v>0.0424610838204606</v>
      </c>
      <c r="G7" s="79" t="s">
        <v>47</v>
      </c>
      <c r="H7" s="66" t="n">
        <f aca="false">IFERROR(__xludf.dummyfunction("GOOGLEFINANCE(""544252"")"),112.85)</f>
        <v>112.85</v>
      </c>
      <c r="I7" s="63" t="n">
        <f aca="false">H7*D7</f>
        <v>56876.4</v>
      </c>
      <c r="J7" s="84" t="n">
        <f aca="false">I7-E7</f>
        <v>-8643.60000000001</v>
      </c>
      <c r="K7" s="67" t="n">
        <f aca="false">J7/E7</f>
        <v>-0.131923076923077</v>
      </c>
      <c r="L7" s="68" t="n">
        <f aca="false">IFERROR(__xludf.dummyfunction("GOOGLEFINANCE(""543940"",""marketcap"")/10^7"),138017.2788706)</f>
        <v>138017.2788706</v>
      </c>
      <c r="M7" s="85" t="n">
        <f aca="false">IFERROR(__xludf.dummyfunction("GOOGLEFINANCE(""543940"",""PE"")"),85.72)</f>
        <v>85.72</v>
      </c>
      <c r="N7" s="69" t="n">
        <f aca="false">IFERROR(__xludf.dummyfunction("GOOGLEFINANCE(""543940"",""EPS"")"),2.53)</f>
        <v>2.53</v>
      </c>
      <c r="O7" s="70" t="n">
        <v>8527</v>
      </c>
      <c r="P7" s="71" t="n">
        <v>7783</v>
      </c>
      <c r="Q7" s="72" t="n">
        <v>0.91</v>
      </c>
      <c r="R7" s="70" t="n">
        <v>1861</v>
      </c>
      <c r="S7" s="72" t="n">
        <v>0.22</v>
      </c>
      <c r="T7" s="71" t="n">
        <v>15125</v>
      </c>
      <c r="U7" s="71" t="n">
        <v>46789</v>
      </c>
      <c r="V7" s="71"/>
      <c r="W7" s="71" t="n">
        <v>6</v>
      </c>
      <c r="X7" s="70" t="n">
        <v>18.23</v>
      </c>
      <c r="Y7" s="73" t="n">
        <v>0.3416</v>
      </c>
      <c r="Z7" s="73" t="n">
        <v>0.879</v>
      </c>
      <c r="AA7" s="73" t="n">
        <v>0.5632</v>
      </c>
      <c r="AB7" s="71"/>
      <c r="AC7" s="74" t="n">
        <f aca="false">L7/O7</f>
        <v>16.1859128498417</v>
      </c>
      <c r="AD7" s="55" t="n">
        <f aca="false">P7/T7</f>
        <v>0.514578512396694</v>
      </c>
      <c r="AE7" s="56" t="n">
        <f aca="false">R7/T7</f>
        <v>0.12304132231405</v>
      </c>
      <c r="AF7" s="86" t="n">
        <f aca="false">H7/X7</f>
        <v>6.19034558420186</v>
      </c>
      <c r="AG7" s="87" t="s">
        <v>48</v>
      </c>
      <c r="AH7" s="87"/>
      <c r="AI7" s="88"/>
    </row>
    <row r="8" customFormat="false" ht="15.75" hidden="false" customHeight="false" outlineLevel="0" collapsed="false">
      <c r="A8" s="38" t="n">
        <v>5</v>
      </c>
      <c r="B8" s="89" t="s">
        <v>49</v>
      </c>
      <c r="C8" s="40" t="n">
        <v>24</v>
      </c>
      <c r="D8" s="40" t="n">
        <v>1080</v>
      </c>
      <c r="E8" s="41" t="n">
        <f aca="false">C8*D8</f>
        <v>25920</v>
      </c>
      <c r="F8" s="42" t="n">
        <f aca="false">E8/$E$35</f>
        <v>0.0167977914015009</v>
      </c>
      <c r="G8" s="90" t="n">
        <v>511577</v>
      </c>
      <c r="H8" s="44" t="n">
        <f aca="false">IFERROR(__xludf.dummyfunction("GOOGLEFINANCE(""511577"")"),14.86)</f>
        <v>14.86</v>
      </c>
      <c r="I8" s="41" t="n">
        <f aca="false">H8*D8</f>
        <v>16048.8</v>
      </c>
      <c r="J8" s="84" t="n">
        <f aca="false">I8-E8</f>
        <v>-9871.2</v>
      </c>
      <c r="K8" s="46" t="n">
        <f aca="false">J8/E8</f>
        <v>-0.380833333333333</v>
      </c>
      <c r="L8" s="47" t="str">
        <f aca="false">IFERROR(__xludf.dummyfunction("GOOGLEFINANCE(""511577"",""marketcap"")/10^7"),"#N/A")</f>
        <v>#N/A</v>
      </c>
      <c r="M8" s="48" t="str">
        <f aca="false">IFERROR(__xludf.dummyfunction("GOOGLEFINANCE(""511577"",""PE"")"),"#N/A")</f>
        <v>#N/A</v>
      </c>
      <c r="N8" s="48" t="str">
        <f aca="false">IFERROR(__xludf.dummyfunction("GOOGLEFINANCE(""511577"",""EPS"")"),"#N/A")</f>
        <v>#N/A</v>
      </c>
      <c r="O8" s="91"/>
      <c r="P8" s="48"/>
      <c r="Q8" s="58"/>
      <c r="R8" s="92"/>
      <c r="S8" s="58"/>
      <c r="T8" s="58"/>
      <c r="U8" s="58"/>
      <c r="V8" s="58"/>
      <c r="W8" s="48"/>
      <c r="X8" s="92"/>
      <c r="Y8" s="48"/>
      <c r="Z8" s="48"/>
      <c r="AA8" s="48"/>
      <c r="AB8" s="48"/>
      <c r="AC8" s="54" t="e">
        <f aca="false">L8/O8</f>
        <v>#VALUE!</v>
      </c>
      <c r="AD8" s="80" t="e">
        <f aca="false">P8/T8</f>
        <v>#DIV/0!</v>
      </c>
      <c r="AE8" s="80" t="e">
        <f aca="false">R8/T8</f>
        <v>#DIV/0!</v>
      </c>
      <c r="AF8" s="57" t="e">
        <f aca="false">H8/X8</f>
        <v>#DIV/0!</v>
      </c>
      <c r="AG8" s="58" t="s">
        <v>48</v>
      </c>
      <c r="AH8" s="58"/>
      <c r="AI8" s="59"/>
    </row>
    <row r="9" customFormat="false" ht="15.75" hidden="false" customHeight="true" outlineLevel="0" collapsed="false">
      <c r="A9" s="19"/>
      <c r="B9" s="20" t="s">
        <v>50</v>
      </c>
      <c r="C9" s="21"/>
      <c r="D9" s="21"/>
      <c r="E9" s="22" t="n">
        <f aca="false">SUM(E10:E15)</f>
        <v>337820</v>
      </c>
      <c r="F9" s="23" t="n">
        <f aca="false">SUM(F10:F15)</f>
        <v>0.218928622347802</v>
      </c>
      <c r="G9" s="24"/>
      <c r="H9" s="25"/>
      <c r="I9" s="22" t="n">
        <f aca="false">SUM(I10:I15)</f>
        <v>319697.3</v>
      </c>
      <c r="J9" s="22" t="n">
        <f aca="false">SUM(J10:J15)</f>
        <v>-18122.7</v>
      </c>
      <c r="K9" s="26" t="n">
        <f aca="false">J9/E9</f>
        <v>-0.0536460245100942</v>
      </c>
      <c r="L9" s="27"/>
      <c r="M9" s="28"/>
      <c r="N9" s="28"/>
      <c r="O9" s="29"/>
      <c r="P9" s="30"/>
      <c r="Q9" s="31"/>
      <c r="R9" s="29"/>
      <c r="S9" s="31"/>
      <c r="T9" s="30"/>
      <c r="U9" s="30"/>
      <c r="V9" s="30"/>
      <c r="W9" s="30"/>
      <c r="X9" s="29"/>
      <c r="Y9" s="32"/>
      <c r="Z9" s="32"/>
      <c r="AA9" s="32"/>
      <c r="AB9" s="31"/>
      <c r="AC9" s="33"/>
      <c r="AD9" s="34"/>
      <c r="AE9" s="34"/>
      <c r="AF9" s="35"/>
      <c r="AG9" s="36"/>
      <c r="AH9" s="36"/>
      <c r="AI9" s="37"/>
    </row>
    <row r="10" customFormat="false" ht="15.75" hidden="false" customHeight="true" outlineLevel="0" collapsed="false">
      <c r="A10" s="38" t="n">
        <v>1</v>
      </c>
      <c r="B10" s="39" t="s">
        <v>51</v>
      </c>
      <c r="C10" s="40" t="n">
        <v>1151</v>
      </c>
      <c r="D10" s="40" t="n">
        <v>50</v>
      </c>
      <c r="E10" s="41" t="n">
        <f aca="false">C10*D10</f>
        <v>57550</v>
      </c>
      <c r="F10" s="42" t="n">
        <f aca="false">E10/$E$35</f>
        <v>0.0372960221896751</v>
      </c>
      <c r="G10" s="43" t="s">
        <v>52</v>
      </c>
      <c r="H10" s="44" t="n">
        <f aca="false">IFERROR(__xludf.dummyfunction("GOOGLEFINANCE(""AFFLE"")"),1459.6)</f>
        <v>1459.6</v>
      </c>
      <c r="I10" s="41" t="n">
        <f aca="false">H10*D10</f>
        <v>72980</v>
      </c>
      <c r="J10" s="45" t="n">
        <f aca="false">I10-E10</f>
        <v>15430</v>
      </c>
      <c r="K10" s="46" t="n">
        <f aca="false">J10/E10</f>
        <v>0.268114682884448</v>
      </c>
      <c r="L10" s="47" t="n">
        <f aca="false">IFERROR(__xludf.dummyfunction("GOOGLEFINANCE(""AFFLE"",""marketcap"")/10^7"),20489.4849612)</f>
        <v>20489.4849612</v>
      </c>
      <c r="M10" s="48" t="n">
        <f aca="false">IFERROR(__xludf.dummyfunction("GOOGLEFINANCE(""AFFLE"",""PE"")"),55.53)</f>
        <v>55.53</v>
      </c>
      <c r="N10" s="48" t="n">
        <f aca="false">IFERROR(__xludf.dummyfunction("GOOGLEFINANCE(""AFFLE"",""EPS"")"),26.11)</f>
        <v>26.11</v>
      </c>
      <c r="O10" s="49" t="n">
        <v>2067</v>
      </c>
      <c r="P10" s="50" t="n">
        <v>412</v>
      </c>
      <c r="Q10" s="51" t="n">
        <v>0.2</v>
      </c>
      <c r="R10" s="49" t="n">
        <v>343</v>
      </c>
      <c r="S10" s="51" t="n">
        <v>0.17</v>
      </c>
      <c r="T10" s="50" t="n">
        <v>262</v>
      </c>
      <c r="U10" s="50" t="n">
        <v>902</v>
      </c>
      <c r="V10" s="93" t="n">
        <v>-281</v>
      </c>
      <c r="W10" s="50" t="n">
        <v>0</v>
      </c>
      <c r="X10" s="49" t="n">
        <v>183</v>
      </c>
      <c r="Y10" s="53" t="n">
        <v>0.5278</v>
      </c>
      <c r="Z10" s="53" t="n">
        <v>0.1975</v>
      </c>
      <c r="AA10" s="53" t="n">
        <v>0.3016</v>
      </c>
      <c r="AB10" s="51" t="n">
        <v>0.02</v>
      </c>
      <c r="AC10" s="54" t="n">
        <f aca="false">L10/O10</f>
        <v>9.91266809927431</v>
      </c>
      <c r="AD10" s="80" t="n">
        <f aca="false">P10/T10</f>
        <v>1.57251908396947</v>
      </c>
      <c r="AE10" s="80" t="n">
        <f aca="false">R10/T10</f>
        <v>1.30916030534351</v>
      </c>
      <c r="AF10" s="57" t="n">
        <f aca="false">H10/X10</f>
        <v>7.97595628415301</v>
      </c>
      <c r="AG10" s="58" t="s">
        <v>40</v>
      </c>
      <c r="AH10" s="58"/>
      <c r="AI10" s="59"/>
    </row>
    <row r="11" customFormat="false" ht="15.75" hidden="false" customHeight="true" outlineLevel="0" collapsed="false">
      <c r="A11" s="60" t="n">
        <v>2</v>
      </c>
      <c r="B11" s="61" t="s">
        <v>53</v>
      </c>
      <c r="C11" s="62" t="n">
        <v>4775</v>
      </c>
      <c r="D11" s="62" t="n">
        <v>16</v>
      </c>
      <c r="E11" s="63" t="n">
        <f aca="false">C11*D11</f>
        <v>76400</v>
      </c>
      <c r="F11" s="64" t="n">
        <f aca="false">E11/$E$35</f>
        <v>0.0495120086062758</v>
      </c>
      <c r="G11" s="65" t="s">
        <v>54</v>
      </c>
      <c r="H11" s="66" t="n">
        <f aca="false">IFERROR(__xludf.dummyfunction("GOOGLEFINANCE(""LTIM"")"),4793.8)</f>
        <v>4793.8</v>
      </c>
      <c r="I11" s="63" t="n">
        <f aca="false">H11*D11</f>
        <v>76700.8</v>
      </c>
      <c r="J11" s="45" t="n">
        <f aca="false">I11-E11</f>
        <v>300.800000000003</v>
      </c>
      <c r="K11" s="67" t="n">
        <f aca="false">J11/E11</f>
        <v>0.00393717277486915</v>
      </c>
      <c r="L11" s="68" t="n">
        <f aca="false">IFERROR(__xludf.dummyfunction("GOOGLEFINANCE(""LTIM"",""marketcap"")/10^7"),173004)</f>
        <v>173004</v>
      </c>
      <c r="M11" s="69" t="n">
        <f aca="false">IFERROR(__xludf.dummyfunction("GOOGLEFINANCE(""LTIM"",""PE"")"),34.69)</f>
        <v>34.69</v>
      </c>
      <c r="N11" s="69" t="n">
        <f aca="false">IFERROR(__xludf.dummyfunction("GOOGLEFINANCE(""LTIM"",""EPS"")"),145.92)</f>
        <v>145.92</v>
      </c>
      <c r="O11" s="70" t="n">
        <v>36485</v>
      </c>
      <c r="P11" s="71" t="n">
        <v>6426</v>
      </c>
      <c r="Q11" s="72" t="n">
        <v>0.18</v>
      </c>
      <c r="R11" s="70" t="n">
        <v>4654</v>
      </c>
      <c r="S11" s="72" t="n">
        <v>0.13</v>
      </c>
      <c r="T11" s="71" t="n">
        <v>5670</v>
      </c>
      <c r="U11" s="71" t="n">
        <v>16058</v>
      </c>
      <c r="V11" s="71" t="n">
        <v>11468</v>
      </c>
      <c r="W11" s="71" t="n">
        <v>0</v>
      </c>
      <c r="X11" s="70" t="n">
        <v>676</v>
      </c>
      <c r="Y11" s="73" t="n">
        <v>0.4213</v>
      </c>
      <c r="Z11" s="73" t="n">
        <v>0.1872</v>
      </c>
      <c r="AA11" s="73" t="n">
        <v>0.3326</v>
      </c>
      <c r="AB11" s="72" t="n">
        <v>0.27</v>
      </c>
      <c r="AC11" s="74" t="n">
        <f aca="false">L11/O11</f>
        <v>4.74178429491572</v>
      </c>
      <c r="AD11" s="94" t="n">
        <f aca="false">P11/T11</f>
        <v>1.13333333333333</v>
      </c>
      <c r="AE11" s="94" t="n">
        <f aca="false">R11/T11</f>
        <v>0.820811287477954</v>
      </c>
      <c r="AF11" s="86" t="n">
        <f aca="false">H11/X11</f>
        <v>7.0914201183432</v>
      </c>
      <c r="AG11" s="95" t="s">
        <v>2</v>
      </c>
      <c r="AH11" s="87"/>
      <c r="AI11" s="88"/>
    </row>
    <row r="12" customFormat="false" ht="15.75" hidden="false" customHeight="true" outlineLevel="0" collapsed="false">
      <c r="A12" s="38" t="n">
        <v>3</v>
      </c>
      <c r="B12" s="39" t="s">
        <v>55</v>
      </c>
      <c r="C12" s="40" t="n">
        <v>672</v>
      </c>
      <c r="D12" s="40" t="n">
        <v>61</v>
      </c>
      <c r="E12" s="41" t="n">
        <f aca="false">C12*D12</f>
        <v>40992</v>
      </c>
      <c r="F12" s="42" t="n">
        <f aca="false">E12/$E$35</f>
        <v>0.0265653960312626</v>
      </c>
      <c r="G12" s="79" t="s">
        <v>56</v>
      </c>
      <c r="H12" s="44" t="n">
        <f aca="false">IFERROR(__xludf.dummyfunction("GOOGLEFINANCE(""542651"")"),1293.1)</f>
        <v>1293.1</v>
      </c>
      <c r="I12" s="41" t="n">
        <f aca="false">H12*D12</f>
        <v>78879.1</v>
      </c>
      <c r="J12" s="45" t="n">
        <f aca="false">I12-E12</f>
        <v>37887.1</v>
      </c>
      <c r="K12" s="46" t="n">
        <f aca="false">J12/E12</f>
        <v>0.924255952380952</v>
      </c>
      <c r="L12" s="47" t="n">
        <f aca="false">IFERROR(__xludf.dummyfunction("GOOGLEFINANCE(""542651"",""marketcap"")/10^7"),35073.415155)</f>
        <v>35073.415155</v>
      </c>
      <c r="M12" s="48" t="n">
        <f aca="false">IFERROR(__xludf.dummyfunction("GOOGLEFINANCE(""542651"",""PE"")"),46.57)</f>
        <v>46.57</v>
      </c>
      <c r="N12" s="48" t="n">
        <f aca="false">IFERROR(__xludf.dummyfunction("GOOGLEFINANCE(""542651"",""EPS"")"),27.77)</f>
        <v>27.77</v>
      </c>
      <c r="O12" s="49" t="n">
        <v>5411</v>
      </c>
      <c r="P12" s="50" t="n">
        <v>1116</v>
      </c>
      <c r="Q12" s="51" t="n">
        <v>0.21</v>
      </c>
      <c r="R12" s="49" t="n">
        <v>728</v>
      </c>
      <c r="S12" s="51" t="n">
        <v>0.13</v>
      </c>
      <c r="T12" s="50" t="n">
        <v>1002</v>
      </c>
      <c r="U12" s="50" t="n">
        <v>2956</v>
      </c>
      <c r="V12" s="50" t="n">
        <v>1402</v>
      </c>
      <c r="W12" s="50" t="n">
        <v>0</v>
      </c>
      <c r="X12" s="49" t="n">
        <v>78</v>
      </c>
      <c r="Y12" s="53" t="n">
        <v>0.3376</v>
      </c>
      <c r="Z12" s="53" t="n">
        <v>0.1945</v>
      </c>
      <c r="AA12" s="53" t="n">
        <v>0.5964</v>
      </c>
      <c r="AB12" s="51" t="n">
        <v>1.03</v>
      </c>
      <c r="AC12" s="54" t="n">
        <f aca="false">L12/O12</f>
        <v>6.48187306505267</v>
      </c>
      <c r="AD12" s="80" t="n">
        <f aca="false">P12/T12</f>
        <v>1.11377245508982</v>
      </c>
      <c r="AE12" s="80" t="n">
        <f aca="false">R12/T12</f>
        <v>0.726546906187625</v>
      </c>
      <c r="AF12" s="96" t="n">
        <f aca="false">H12/X12</f>
        <v>16.5782051282051</v>
      </c>
      <c r="AG12" s="95" t="s">
        <v>2</v>
      </c>
      <c r="AH12" s="58"/>
      <c r="AI12" s="97" t="s">
        <v>57</v>
      </c>
    </row>
    <row r="13" customFormat="false" ht="15.75" hidden="false" customHeight="true" outlineLevel="0" collapsed="false">
      <c r="A13" s="60" t="n">
        <v>4</v>
      </c>
      <c r="B13" s="98" t="s">
        <v>58</v>
      </c>
      <c r="C13" s="62" t="n">
        <v>1072</v>
      </c>
      <c r="D13" s="62" t="n">
        <v>63</v>
      </c>
      <c r="E13" s="63" t="n">
        <f aca="false">C13*D13</f>
        <v>67536</v>
      </c>
      <c r="F13" s="64" t="n">
        <f aca="false">E13/$E$35</f>
        <v>0.0437675787072441</v>
      </c>
      <c r="G13" s="79" t="s">
        <v>59</v>
      </c>
      <c r="H13" s="66" t="n">
        <f aca="false">IFERROR(__xludf.dummyfunction("GOOGLEFINANCE(""544028"")"),662)</f>
        <v>662</v>
      </c>
      <c r="I13" s="63" t="n">
        <f aca="false">H13*D13</f>
        <v>41706</v>
      </c>
      <c r="J13" s="84" t="n">
        <f aca="false">I13-E13</f>
        <v>-25830</v>
      </c>
      <c r="K13" s="67" t="n">
        <f aca="false">J13/E13</f>
        <v>-0.382462686567164</v>
      </c>
      <c r="L13" s="68" t="n">
        <f aca="false">IFERROR(__xludf.dummyfunction("GOOGLEFINANCE(""544028"",""marketcap"")/10^7"),26879.5938195)</f>
        <v>26879.5938195</v>
      </c>
      <c r="M13" s="69" t="n">
        <f aca="false">IFERROR(__xludf.dummyfunction("GOOGLEFINANCE(""544028"",""PE"")"),41.68)</f>
        <v>41.68</v>
      </c>
      <c r="N13" s="69" t="n">
        <f aca="false">IFERROR(__xludf.dummyfunction("GOOGLEFINANCE(""544028"",""EPS"")"),15.88)</f>
        <v>15.88</v>
      </c>
      <c r="O13" s="70" t="n">
        <v>5156</v>
      </c>
      <c r="P13" s="71" t="n">
        <v>943</v>
      </c>
      <c r="Q13" s="72" t="n">
        <v>0.18</v>
      </c>
      <c r="R13" s="70" t="n">
        <v>647</v>
      </c>
      <c r="S13" s="72" t="n">
        <v>0.13</v>
      </c>
      <c r="T13" s="71" t="n">
        <v>294</v>
      </c>
      <c r="U13" s="71" t="n">
        <v>2037</v>
      </c>
      <c r="V13" s="71" t="n">
        <v>1731</v>
      </c>
      <c r="W13" s="71" t="n">
        <v>0</v>
      </c>
      <c r="X13" s="70" t="n">
        <v>79</v>
      </c>
      <c r="Y13" s="73" t="n">
        <v>0.2905</v>
      </c>
      <c r="Z13" s="73" t="n">
        <v>0.1844</v>
      </c>
      <c r="AA13" s="73" t="n">
        <v>0.4162</v>
      </c>
      <c r="AB13" s="69"/>
      <c r="AC13" s="74" t="n">
        <f aca="false">L13/O13</f>
        <v>5.21326489904965</v>
      </c>
      <c r="AD13" s="94" t="n">
        <f aca="false">P13/T13</f>
        <v>3.20748299319728</v>
      </c>
      <c r="AE13" s="94" t="n">
        <f aca="false">R13/T13</f>
        <v>2.20068027210884</v>
      </c>
      <c r="AF13" s="86" t="n">
        <f aca="false">H13/X13</f>
        <v>8.37974683544304</v>
      </c>
      <c r="AG13" s="95" t="s">
        <v>2</v>
      </c>
      <c r="AH13" s="87"/>
      <c r="AI13" s="97" t="s">
        <v>57</v>
      </c>
    </row>
    <row r="14" customFormat="false" ht="15.75" hidden="false" customHeight="true" outlineLevel="0" collapsed="false">
      <c r="A14" s="38" t="n">
        <v>5</v>
      </c>
      <c r="B14" s="89" t="s">
        <v>60</v>
      </c>
      <c r="C14" s="40" t="n">
        <v>232</v>
      </c>
      <c r="D14" s="40" t="n">
        <v>191</v>
      </c>
      <c r="E14" s="41" t="n">
        <f aca="false">C14*D14</f>
        <v>44312</v>
      </c>
      <c r="F14" s="42" t="n">
        <f aca="false">E14/$E$35</f>
        <v>0.02871696499164</v>
      </c>
      <c r="G14" s="79" t="s">
        <v>61</v>
      </c>
      <c r="H14" s="44" t="n">
        <f aca="false">IFERROR(__xludf.dummyfunction("GOOGLEFINANCE(""544107"")"),152.9)</f>
        <v>152.9</v>
      </c>
      <c r="I14" s="41" t="n">
        <f aca="false">H14*D14</f>
        <v>29203.9</v>
      </c>
      <c r="J14" s="84" t="n">
        <f aca="false">I14-E14</f>
        <v>-15108.1</v>
      </c>
      <c r="K14" s="46" t="n">
        <f aca="false">J14/E14</f>
        <v>-0.340948275862069</v>
      </c>
      <c r="L14" s="47" t="n">
        <f aca="false">IFERROR(__xludf.dummyfunction("GOOGLEFINANCE(""544107"",""marketcap"")/10^7"),1388.6507127)</f>
        <v>1388.6507127</v>
      </c>
      <c r="M14" s="48" t="n">
        <f aca="false">IFERROR(__xludf.dummyfunction("GOOGLEFINANCE(""544107"",""PE"")"),26.3)</f>
        <v>26.3</v>
      </c>
      <c r="N14" s="48" t="n">
        <f aca="false">IFERROR(__xludf.dummyfunction("GOOGLEFINANCE(""544107"",""EPS"")"),5.8)</f>
        <v>5.8</v>
      </c>
      <c r="O14" s="49" t="n">
        <v>298</v>
      </c>
      <c r="P14" s="50" t="n">
        <v>46</v>
      </c>
      <c r="Q14" s="51" t="n">
        <v>0.16</v>
      </c>
      <c r="R14" s="49" t="n">
        <v>44</v>
      </c>
      <c r="S14" s="51" t="n">
        <v>0.15</v>
      </c>
      <c r="T14" s="50" t="n">
        <v>20</v>
      </c>
      <c r="U14" s="50" t="n">
        <v>77</v>
      </c>
      <c r="V14" s="93" t="n">
        <v>-16</v>
      </c>
      <c r="W14" s="50" t="n">
        <v>0</v>
      </c>
      <c r="X14" s="49" t="n">
        <v>55</v>
      </c>
      <c r="Y14" s="53" t="n">
        <v>0.6721</v>
      </c>
      <c r="Z14" s="53" t="n">
        <v>0.1279</v>
      </c>
      <c r="AA14" s="53" t="n">
        <v>1.1522</v>
      </c>
      <c r="AB14" s="48"/>
      <c r="AC14" s="54" t="n">
        <f aca="false">L14/O14</f>
        <v>4.6599017204698</v>
      </c>
      <c r="AD14" s="80" t="n">
        <f aca="false">P14/T14</f>
        <v>2.3</v>
      </c>
      <c r="AE14" s="80" t="n">
        <f aca="false">R14/T14</f>
        <v>2.2</v>
      </c>
      <c r="AF14" s="57" t="n">
        <f aca="false">H14/X14</f>
        <v>2.78</v>
      </c>
      <c r="AG14" s="58" t="s">
        <v>40</v>
      </c>
      <c r="AH14" s="58"/>
      <c r="AI14" s="59"/>
    </row>
    <row r="15" customFormat="false" ht="15.75" hidden="false" customHeight="true" outlineLevel="0" collapsed="false">
      <c r="A15" s="60" t="n">
        <v>6</v>
      </c>
      <c r="B15" s="99" t="s">
        <v>62</v>
      </c>
      <c r="C15" s="62" t="n">
        <v>1134</v>
      </c>
      <c r="D15" s="62" t="n">
        <v>45</v>
      </c>
      <c r="E15" s="63" t="n">
        <f aca="false">C15*D15</f>
        <v>51030</v>
      </c>
      <c r="F15" s="64" t="n">
        <f aca="false">E15/$E$35</f>
        <v>0.0330706518217049</v>
      </c>
      <c r="G15" s="79" t="s">
        <v>63</v>
      </c>
      <c r="H15" s="66" t="n">
        <f aca="false">IFERROR(__xludf.dummyfunction("GOOGLEFINANCE(""532790"")"),449.5)</f>
        <v>449.5</v>
      </c>
      <c r="I15" s="63" t="n">
        <f aca="false">H15*D15</f>
        <v>20227.5</v>
      </c>
      <c r="J15" s="84" t="n">
        <f aca="false">I15-E15</f>
        <v>-30802.5</v>
      </c>
      <c r="K15" s="67" t="n">
        <f aca="false">J15/E15</f>
        <v>-0.603615520282187</v>
      </c>
      <c r="L15" s="68" t="n">
        <f aca="false">IFERROR(__xludf.dummyfunction("GOOGLEFINANCE(""532790"",""marketcap"")/10^7"),6041.6242596)</f>
        <v>6041.6242596</v>
      </c>
      <c r="M15" s="69" t="n">
        <f aca="false">IFERROR(__xludf.dummyfunction("GOOGLEFINANCE(""532790"",""PE"")"),11.64)</f>
        <v>11.64</v>
      </c>
      <c r="N15" s="69" t="n">
        <f aca="false">IFERROR(__xludf.dummyfunction("GOOGLEFINANCE(""543664"",""EPS"")"),39.48)</f>
        <v>39.48</v>
      </c>
      <c r="O15" s="70" t="n">
        <v>4011</v>
      </c>
      <c r="P15" s="71" t="n">
        <v>717</v>
      </c>
      <c r="Q15" s="72" t="n">
        <v>0.18</v>
      </c>
      <c r="R15" s="70" t="n">
        <v>542</v>
      </c>
      <c r="S15" s="72" t="n">
        <v>0.14</v>
      </c>
      <c r="T15" s="71" t="n">
        <v>590</v>
      </c>
      <c r="U15" s="71" t="n">
        <v>2124</v>
      </c>
      <c r="V15" s="71" t="n">
        <v>1675</v>
      </c>
      <c r="W15" s="71" t="n">
        <v>0</v>
      </c>
      <c r="X15" s="70" t="n">
        <v>144</v>
      </c>
      <c r="Y15" s="73" t="n">
        <v>0.1882</v>
      </c>
      <c r="Z15" s="73" t="n">
        <v>0.1933</v>
      </c>
      <c r="AA15" s="73" t="n">
        <v>0.1547</v>
      </c>
      <c r="AB15" s="72" t="n">
        <v>0</v>
      </c>
      <c r="AC15" s="74" t="n">
        <f aca="false">L15/O15</f>
        <v>1.50626383934181</v>
      </c>
      <c r="AD15" s="94" t="n">
        <f aca="false">P15/T15</f>
        <v>1.21525423728814</v>
      </c>
      <c r="AE15" s="94" t="n">
        <f aca="false">R15/T15</f>
        <v>0.91864406779661</v>
      </c>
      <c r="AF15" s="86" t="n">
        <f aca="false">H15/X15</f>
        <v>3.12152777777778</v>
      </c>
      <c r="AG15" s="95" t="s">
        <v>2</v>
      </c>
      <c r="AH15" s="87"/>
      <c r="AI15" s="88"/>
    </row>
    <row r="16" customFormat="false" ht="15.75" hidden="false" customHeight="false" outlineLevel="0" collapsed="false">
      <c r="A16" s="100"/>
      <c r="B16" s="101" t="s">
        <v>64</v>
      </c>
      <c r="C16" s="102"/>
      <c r="D16" s="102"/>
      <c r="E16" s="103" t="n">
        <f aca="false">SUM(E17:E19)</f>
        <v>263565</v>
      </c>
      <c r="F16" s="104" t="n">
        <f aca="false">SUM(F17:F19)</f>
        <v>0.170806708747554</v>
      </c>
      <c r="G16" s="105"/>
      <c r="H16" s="106"/>
      <c r="I16" s="103" t="n">
        <f aca="false">SUM(I17:I19)</f>
        <v>277958.7</v>
      </c>
      <c r="J16" s="103" t="n">
        <f aca="false">SUM(J17:J19)</f>
        <v>14393.7</v>
      </c>
      <c r="K16" s="107" t="n">
        <f aca="false">J16/E16</f>
        <v>0.0546115758920949</v>
      </c>
      <c r="L16" s="108"/>
      <c r="M16" s="109"/>
      <c r="N16" s="109"/>
      <c r="O16" s="110"/>
      <c r="P16" s="111"/>
      <c r="Q16" s="112"/>
      <c r="R16" s="110"/>
      <c r="S16" s="112"/>
      <c r="T16" s="111"/>
      <c r="U16" s="111"/>
      <c r="V16" s="111"/>
      <c r="W16" s="111"/>
      <c r="X16" s="110"/>
      <c r="Y16" s="113"/>
      <c r="Z16" s="113"/>
      <c r="AA16" s="113"/>
      <c r="AB16" s="112"/>
      <c r="AC16" s="33"/>
      <c r="AD16" s="34"/>
      <c r="AE16" s="34"/>
      <c r="AF16" s="114"/>
      <c r="AG16" s="115"/>
      <c r="AH16" s="115"/>
      <c r="AI16" s="116"/>
    </row>
    <row r="17" customFormat="false" ht="15.75" hidden="false" customHeight="true" outlineLevel="0" collapsed="false">
      <c r="A17" s="60" t="n">
        <v>1</v>
      </c>
      <c r="B17" s="61" t="s">
        <v>65</v>
      </c>
      <c r="C17" s="62" t="n">
        <v>3777</v>
      </c>
      <c r="D17" s="62" t="n">
        <v>27</v>
      </c>
      <c r="E17" s="63" t="n">
        <f aca="false">C17*D17</f>
        <v>101979</v>
      </c>
      <c r="F17" s="64" t="n">
        <f aca="false">E17/$E$35</f>
        <v>0.0660888105452802</v>
      </c>
      <c r="G17" s="65" t="s">
        <v>66</v>
      </c>
      <c r="H17" s="66" t="n">
        <f aca="false">IFERROR(__xludf.dummyfunction("GOOGLEFINANCE(""DMART"")"),3451.1)</f>
        <v>3451.1</v>
      </c>
      <c r="I17" s="63" t="n">
        <f aca="false">H17*D17</f>
        <v>93179.7</v>
      </c>
      <c r="J17" s="84" t="n">
        <f aca="false">I17-E17</f>
        <v>-8799.3</v>
      </c>
      <c r="K17" s="67" t="n">
        <f aca="false">J17/E17</f>
        <v>-0.0862854117024094</v>
      </c>
      <c r="L17" s="68" t="n">
        <f aca="false">IFERROR(__xludf.dummyfunction("GOOGLEFINANCE(""DMART"",""marketcap"")/10^7"),224584.226625)</f>
        <v>224584.226625</v>
      </c>
      <c r="M17" s="85" t="n">
        <f aca="false">IFERROR(__xludf.dummyfunction("GOOGLEFINANCE(""DMART"",""PE"")"),82.63)</f>
        <v>82.63</v>
      </c>
      <c r="N17" s="69" t="n">
        <f aca="false">IFERROR(__xludf.dummyfunction("GOOGLEFINANCE(""DMART"",""EPS"")"),41.75)</f>
        <v>41.75</v>
      </c>
      <c r="O17" s="70" t="n">
        <v>54813</v>
      </c>
      <c r="P17" s="71" t="n">
        <v>4379</v>
      </c>
      <c r="Q17" s="117" t="n">
        <v>0.08</v>
      </c>
      <c r="R17" s="70" t="n">
        <v>2687</v>
      </c>
      <c r="S17" s="72" t="n">
        <v>0.05</v>
      </c>
      <c r="T17" s="71" t="n">
        <v>2746</v>
      </c>
      <c r="U17" s="71" t="n">
        <v>9404</v>
      </c>
      <c r="V17" s="93" t="n">
        <v>-169</v>
      </c>
      <c r="W17" s="71" t="n">
        <v>0</v>
      </c>
      <c r="X17" s="70" t="n">
        <v>288</v>
      </c>
      <c r="Y17" s="73" t="n">
        <v>0.2813</v>
      </c>
      <c r="Z17" s="73" t="n">
        <v>0.0822</v>
      </c>
      <c r="AA17" s="73" t="n">
        <v>0.3213</v>
      </c>
      <c r="AB17" s="72" t="n">
        <v>0.17</v>
      </c>
      <c r="AC17" s="118" t="n">
        <f aca="false">L17/O17</f>
        <v>4.09728032811559</v>
      </c>
      <c r="AD17" s="94" t="n">
        <f aca="false">P17/T17</f>
        <v>1.59468317552804</v>
      </c>
      <c r="AE17" s="94" t="n">
        <f aca="false">R17/T17</f>
        <v>0.978514202476329</v>
      </c>
      <c r="AF17" s="75" t="n">
        <f aca="false">H17/X17</f>
        <v>11.9829861111111</v>
      </c>
      <c r="AG17" s="76" t="s">
        <v>2</v>
      </c>
      <c r="AH17" s="87"/>
      <c r="AI17" s="97" t="s">
        <v>67</v>
      </c>
    </row>
    <row r="18" customFormat="false" ht="15.75" hidden="false" customHeight="true" outlineLevel="0" collapsed="false">
      <c r="A18" s="38" t="n">
        <v>2</v>
      </c>
      <c r="B18" s="39" t="s">
        <v>68</v>
      </c>
      <c r="C18" s="40" t="n">
        <v>845</v>
      </c>
      <c r="D18" s="40" t="n">
        <v>90</v>
      </c>
      <c r="E18" s="41" t="n">
        <f aca="false">C18*D18</f>
        <v>76050</v>
      </c>
      <c r="F18" s="42" t="n">
        <f aca="false">E18/$E$35</f>
        <v>0.0492851865773204</v>
      </c>
      <c r="G18" s="79" t="s">
        <v>69</v>
      </c>
      <c r="H18" s="44" t="n">
        <f aca="false">IFERROR(__xludf.dummyfunction("GOOGLEFINANCE(""500800"")"),961.1)</f>
        <v>961.1</v>
      </c>
      <c r="I18" s="41" t="n">
        <f aca="false">H18*D18</f>
        <v>86499</v>
      </c>
      <c r="J18" s="45" t="n">
        <f aca="false">I18-E18</f>
        <v>10449</v>
      </c>
      <c r="K18" s="46" t="n">
        <f aca="false">J18/E18</f>
        <v>0.137396449704142</v>
      </c>
      <c r="L18" s="47" t="n">
        <f aca="false">IFERROR(__xludf.dummyfunction("GOOGLEFINANCE(""532540"",""marketcap"")/10^7"),1297066.0813985)</f>
        <v>1297066.0813985</v>
      </c>
      <c r="M18" s="48" t="n">
        <f aca="false">IFERROR(__xludf.dummyfunction("GOOGLEFINANCE(""532540"",""PE"")"),26.56)</f>
        <v>26.56</v>
      </c>
      <c r="N18" s="48" t="n">
        <f aca="false">IFERROR(__xludf.dummyfunction("GOOGLEFINANCE(""532540"",""EPS"")"),134.77)</f>
        <v>134.77</v>
      </c>
      <c r="O18" s="49" t="n">
        <v>248692</v>
      </c>
      <c r="P18" s="50" t="n">
        <v>66945</v>
      </c>
      <c r="Q18" s="51" t="n">
        <v>0.27</v>
      </c>
      <c r="R18" s="49" t="n">
        <v>47441</v>
      </c>
      <c r="S18" s="51" t="n">
        <v>0.19</v>
      </c>
      <c r="T18" s="50" t="n">
        <v>44338</v>
      </c>
      <c r="U18" s="50" t="n">
        <v>197423</v>
      </c>
      <c r="V18" s="50" t="n">
        <v>189508</v>
      </c>
      <c r="W18" s="50" t="n">
        <v>0</v>
      </c>
      <c r="X18" s="49" t="n">
        <v>249</v>
      </c>
      <c r="Y18" s="53" t="n">
        <v>0.1363</v>
      </c>
      <c r="Z18" s="53" t="n">
        <v>0.2684</v>
      </c>
      <c r="AA18" s="53" t="n">
        <v>0.1228</v>
      </c>
      <c r="AB18" s="51" t="n">
        <v>0.06</v>
      </c>
      <c r="AC18" s="118" t="n">
        <f aca="false">L18/O18</f>
        <v>5.2155520941506</v>
      </c>
      <c r="AD18" s="80" t="n">
        <f aca="false">P18/T18</f>
        <v>1.50987865938924</v>
      </c>
      <c r="AE18" s="80" t="n">
        <f aca="false">R18/T18</f>
        <v>1.06998511434887</v>
      </c>
      <c r="AF18" s="75" t="n">
        <f aca="false">H18/X18</f>
        <v>3.85983935742972</v>
      </c>
      <c r="AG18" s="76" t="s">
        <v>2</v>
      </c>
      <c r="AH18" s="81"/>
      <c r="AI18" s="82"/>
    </row>
    <row r="19" customFormat="false" ht="15.75" hidden="false" customHeight="true" outlineLevel="0" collapsed="false">
      <c r="A19" s="60" t="n">
        <v>3</v>
      </c>
      <c r="B19" s="61" t="s">
        <v>70</v>
      </c>
      <c r="C19" s="62" t="n">
        <v>2376</v>
      </c>
      <c r="D19" s="62" t="n">
        <v>36</v>
      </c>
      <c r="E19" s="63" t="n">
        <f aca="false">C19*D19</f>
        <v>85536</v>
      </c>
      <c r="F19" s="64" t="n">
        <f aca="false">E19/$E$35</f>
        <v>0.055432711624953</v>
      </c>
      <c r="G19" s="79" t="s">
        <v>71</v>
      </c>
      <c r="H19" s="66" t="n">
        <f aca="false">IFERROR(__xludf.dummyfunction("GOOGLEFINANCE(""500331"")"),2730)</f>
        <v>2730</v>
      </c>
      <c r="I19" s="63" t="n">
        <f aca="false">H19*D19</f>
        <v>98280</v>
      </c>
      <c r="J19" s="45" t="n">
        <f aca="false">I19-E19</f>
        <v>12744</v>
      </c>
      <c r="K19" s="67" t="n">
        <f aca="false">J19/E19</f>
        <v>0.148989898989899</v>
      </c>
      <c r="L19" s="68" t="n">
        <f aca="false">IFERROR(__xludf.dummyfunction("GOOGLEFINANCE(""500331"",""marketcap"")/10^7"),138857.7849868)</f>
        <v>138857.7849868</v>
      </c>
      <c r="M19" s="85" t="n">
        <f aca="false">IFERROR(__xludf.dummyfunction("GOOGLEFINANCE(""500331"",""PE"")"),71.13)</f>
        <v>71.13</v>
      </c>
      <c r="N19" s="69" t="n">
        <f aca="false">IFERROR(__xludf.dummyfunction("GOOGLEFINANCE(""500331"",""EPS"")"),38.36)</f>
        <v>38.36</v>
      </c>
      <c r="O19" s="70" t="n">
        <v>12662</v>
      </c>
      <c r="P19" s="71" t="n">
        <v>2897</v>
      </c>
      <c r="Q19" s="72" t="n">
        <v>0.23</v>
      </c>
      <c r="R19" s="70" t="n">
        <v>1913</v>
      </c>
      <c r="S19" s="72" t="n">
        <v>0.15</v>
      </c>
      <c r="T19" s="71" t="n">
        <v>2724</v>
      </c>
      <c r="U19" s="71" t="n">
        <v>7909</v>
      </c>
      <c r="V19" s="71" t="n">
        <v>4000</v>
      </c>
      <c r="W19" s="71" t="n">
        <v>0</v>
      </c>
      <c r="X19" s="70" t="n">
        <v>165</v>
      </c>
      <c r="Y19" s="73" t="n">
        <v>0.193</v>
      </c>
      <c r="Z19" s="73" t="n">
        <v>0.1921</v>
      </c>
      <c r="AA19" s="73" t="n">
        <v>0.152</v>
      </c>
      <c r="AB19" s="72" t="n">
        <v>0.19</v>
      </c>
      <c r="AC19" s="118" t="n">
        <f aca="false">L19/O19</f>
        <v>10.9664969978518</v>
      </c>
      <c r="AD19" s="94" t="n">
        <f aca="false">P19/T19</f>
        <v>1.06350954478708</v>
      </c>
      <c r="AE19" s="94" t="n">
        <f aca="false">R19/T19</f>
        <v>0.702276064610866</v>
      </c>
      <c r="AF19" s="75" t="n">
        <f aca="false">H19/X19</f>
        <v>16.5454545454545</v>
      </c>
      <c r="AG19" s="76" t="s">
        <v>2</v>
      </c>
      <c r="AH19" s="119"/>
      <c r="AI19" s="120" t="s">
        <v>57</v>
      </c>
    </row>
    <row r="20" customFormat="false" ht="15.75" hidden="false" customHeight="false" outlineLevel="0" collapsed="false">
      <c r="A20" s="100"/>
      <c r="B20" s="101" t="s">
        <v>72</v>
      </c>
      <c r="C20" s="102"/>
      <c r="D20" s="102"/>
      <c r="E20" s="103" t="n">
        <f aca="false">SUM(E21:E24)</f>
        <v>158860</v>
      </c>
      <c r="F20" s="104" t="n">
        <f aca="false">SUM(F21:F24)</f>
        <v>0.10295127862818</v>
      </c>
      <c r="G20" s="105"/>
      <c r="H20" s="106"/>
      <c r="I20" s="103" t="n">
        <f aca="false">SUM(I21:I24)</f>
        <v>138974</v>
      </c>
      <c r="J20" s="103" t="n">
        <f aca="false">SUM(J21:J24)</f>
        <v>-19886</v>
      </c>
      <c r="K20" s="107" t="n">
        <f aca="false">J20/E20</f>
        <v>-0.125179403248143</v>
      </c>
      <c r="L20" s="108"/>
      <c r="M20" s="109"/>
      <c r="N20" s="109"/>
      <c r="O20" s="110"/>
      <c r="P20" s="111"/>
      <c r="Q20" s="112"/>
      <c r="R20" s="110"/>
      <c r="S20" s="112"/>
      <c r="T20" s="111"/>
      <c r="U20" s="111"/>
      <c r="V20" s="111"/>
      <c r="W20" s="111"/>
      <c r="X20" s="110"/>
      <c r="Y20" s="113"/>
      <c r="Z20" s="113"/>
      <c r="AA20" s="113"/>
      <c r="AB20" s="112"/>
      <c r="AC20" s="33"/>
      <c r="AD20" s="34"/>
      <c r="AE20" s="34"/>
      <c r="AF20" s="114"/>
      <c r="AG20" s="115"/>
      <c r="AH20" s="115"/>
      <c r="AI20" s="116"/>
    </row>
    <row r="21" customFormat="false" ht="15.75" hidden="false" customHeight="true" outlineLevel="0" collapsed="false">
      <c r="A21" s="60" t="n">
        <v>1</v>
      </c>
      <c r="B21" s="61" t="s">
        <v>73</v>
      </c>
      <c r="C21" s="62" t="n">
        <v>224</v>
      </c>
      <c r="D21" s="62" t="n">
        <v>225</v>
      </c>
      <c r="E21" s="63" t="n">
        <f aca="false">C21*D21</f>
        <v>50400</v>
      </c>
      <c r="F21" s="64" t="n">
        <f aca="false">E21/$E$35</f>
        <v>0.0326623721695851</v>
      </c>
      <c r="G21" s="79" t="s">
        <v>74</v>
      </c>
      <c r="H21" s="66" t="n">
        <f aca="false">IFERROR(__xludf.dummyfunction("GOOGLEFINANCE(""500400"")"),351)</f>
        <v>351</v>
      </c>
      <c r="I21" s="63" t="n">
        <f aca="false">H21*D21</f>
        <v>78975</v>
      </c>
      <c r="J21" s="45" t="n">
        <f aca="false">I21-E21</f>
        <v>28575</v>
      </c>
      <c r="K21" s="67" t="n">
        <f aca="false">J21/E21</f>
        <v>0.566964285714286</v>
      </c>
      <c r="L21" s="68" t="n">
        <f aca="false">IFERROR(__xludf.dummyfunction("GOOGLEFINANCE(""500400"",""marketcap"")/10^7"),112140.4612005)</f>
        <v>112140.4612005</v>
      </c>
      <c r="M21" s="69" t="n">
        <f aca="false">IFERROR(__xludf.dummyfunction("GOOGLEFINANCE(""500400"",""PE"")"),29.36)</f>
        <v>29.36</v>
      </c>
      <c r="N21" s="69" t="n">
        <f aca="false">IFERROR(__xludf.dummyfunction("GOOGLEFINANCE(""500400"",""EPS"")"),11.94)</f>
        <v>11.94</v>
      </c>
      <c r="O21" s="70" t="n">
        <v>63489</v>
      </c>
      <c r="P21" s="71" t="n">
        <v>11057</v>
      </c>
      <c r="Q21" s="72" t="n">
        <v>0.17</v>
      </c>
      <c r="R21" s="70" t="n">
        <v>3746</v>
      </c>
      <c r="S21" s="72" t="n">
        <v>0.06</v>
      </c>
      <c r="T21" s="71" t="n">
        <v>12596</v>
      </c>
      <c r="U21" s="71" t="n">
        <v>42175</v>
      </c>
      <c r="V21" s="71" t="n">
        <v>10285</v>
      </c>
      <c r="W21" s="71" t="n">
        <v>2</v>
      </c>
      <c r="X21" s="70" t="n">
        <v>101</v>
      </c>
      <c r="Y21" s="73" t="n">
        <v>0.234</v>
      </c>
      <c r="Z21" s="73" t="n">
        <v>0.16</v>
      </c>
      <c r="AA21" s="73" t="n">
        <v>0.4856</v>
      </c>
      <c r="AB21" s="72" t="n">
        <v>0.56</v>
      </c>
      <c r="AC21" s="74" t="n">
        <f aca="false">L21/O21</f>
        <v>1.76629748776166</v>
      </c>
      <c r="AD21" s="94" t="n">
        <f aca="false">P21/T21</f>
        <v>0.877818355033344</v>
      </c>
      <c r="AE21" s="56" t="n">
        <f aca="false">R21/T21</f>
        <v>0.297395998729756</v>
      </c>
      <c r="AF21" s="86" t="n">
        <f aca="false">H21/X21</f>
        <v>3.47524752475248</v>
      </c>
      <c r="AG21" s="76" t="s">
        <v>2</v>
      </c>
      <c r="AH21" s="87"/>
      <c r="AI21" s="88"/>
    </row>
    <row r="22" customFormat="false" ht="15.75" hidden="false" customHeight="true" outlineLevel="0" collapsed="false">
      <c r="A22" s="38" t="n">
        <v>2</v>
      </c>
      <c r="B22" s="89" t="s">
        <v>75</v>
      </c>
      <c r="C22" s="40" t="n">
        <v>875</v>
      </c>
      <c r="D22" s="40" t="n">
        <v>50</v>
      </c>
      <c r="E22" s="41" t="n">
        <f aca="false">C22*D22</f>
        <v>43750</v>
      </c>
      <c r="F22" s="42" t="n">
        <f aca="false">E22/$E$35</f>
        <v>0.0283527536194315</v>
      </c>
      <c r="G22" s="79" t="s">
        <v>76</v>
      </c>
      <c r="H22" s="44" t="n">
        <f aca="false">IFERROR(__xludf.dummyfunction("GOOGLEFINANCE(""542323"")"),402.4)</f>
        <v>402.4</v>
      </c>
      <c r="I22" s="41" t="n">
        <f aca="false">H22*D22</f>
        <v>20120</v>
      </c>
      <c r="J22" s="84" t="n">
        <f aca="false">I22-E22</f>
        <v>-23630</v>
      </c>
      <c r="K22" s="46" t="n">
        <f aca="false">J22/E22</f>
        <v>-0.540114285714286</v>
      </c>
      <c r="L22" s="47" t="n">
        <f aca="false">IFERROR(__xludf.dummyfunction("GOOGLEFINANCE(""542323"",""marketcap"")/10^7"),7915.00212)</f>
        <v>7915.00212</v>
      </c>
      <c r="M22" s="48" t="n">
        <f aca="false">IFERROR(__xludf.dummyfunction("GOOGLEFINANCE(""542323"",""PE"")"),29.26)</f>
        <v>29.26</v>
      </c>
      <c r="N22" s="48" t="n">
        <f aca="false">IFERROR(__xludf.dummyfunction("GOOGLEFINANCE(""542323"",""EPS"")"),13.75)</f>
        <v>13.75</v>
      </c>
      <c r="O22" s="49" t="n">
        <v>1327</v>
      </c>
      <c r="P22" s="50" t="n">
        <v>462</v>
      </c>
      <c r="Q22" s="51" t="n">
        <v>0.35</v>
      </c>
      <c r="R22" s="49" t="n">
        <v>230</v>
      </c>
      <c r="S22" s="51" t="n">
        <v>0.17</v>
      </c>
      <c r="T22" s="52" t="n">
        <v>-57</v>
      </c>
      <c r="U22" s="50" t="n">
        <v>217</v>
      </c>
      <c r="V22" s="93" t="n">
        <v>-761</v>
      </c>
      <c r="W22" s="50" t="n">
        <v>1</v>
      </c>
      <c r="X22" s="49" t="n">
        <v>73</v>
      </c>
      <c r="Y22" s="53" t="n">
        <v>1.1552</v>
      </c>
      <c r="Z22" s="53" t="n">
        <v>0.3447</v>
      </c>
      <c r="AA22" s="53" t="n">
        <v>0.9465</v>
      </c>
      <c r="AB22" s="51" t="n">
        <v>3.7</v>
      </c>
      <c r="AC22" s="118" t="n">
        <f aca="false">L22/O22</f>
        <v>5.96458336096458</v>
      </c>
      <c r="AD22" s="55" t="n">
        <f aca="false">P22/T22</f>
        <v>-8.10526315789474</v>
      </c>
      <c r="AE22" s="56" t="n">
        <f aca="false">R22/T22</f>
        <v>-4.03508771929825</v>
      </c>
      <c r="AF22" s="75" t="n">
        <f aca="false">H22/X22</f>
        <v>5.51232876712329</v>
      </c>
      <c r="AG22" s="76" t="s">
        <v>2</v>
      </c>
      <c r="AH22" s="81"/>
      <c r="AI22" s="120" t="s">
        <v>57</v>
      </c>
    </row>
    <row r="23" customFormat="false" ht="15.75" hidden="false" customHeight="true" outlineLevel="0" collapsed="false">
      <c r="A23" s="60" t="n">
        <v>3</v>
      </c>
      <c r="B23" s="61" t="s">
        <v>77</v>
      </c>
      <c r="C23" s="62" t="n">
        <v>44</v>
      </c>
      <c r="D23" s="62" t="n">
        <v>450</v>
      </c>
      <c r="E23" s="63" t="n">
        <f aca="false">C23*D23</f>
        <v>19800</v>
      </c>
      <c r="F23" s="64" t="n">
        <f aca="false">E23/$E$35</f>
        <v>0.0128316462094799</v>
      </c>
      <c r="G23" s="79" t="s">
        <v>78</v>
      </c>
      <c r="H23" s="66" t="n">
        <f aca="false">IFERROR(__xludf.dummyfunction("GOOGLEFINANCE(""532667"")"),51.36)</f>
        <v>51.36</v>
      </c>
      <c r="I23" s="63" t="n">
        <f aca="false">H23*D23</f>
        <v>23112</v>
      </c>
      <c r="J23" s="45" t="n">
        <f aca="false">I23-E23</f>
        <v>3312</v>
      </c>
      <c r="K23" s="67" t="n">
        <f aca="false">J23/E23</f>
        <v>0.167272727272727</v>
      </c>
      <c r="L23" s="68" t="n">
        <f aca="false">IFERROR(__xludf.dummyfunction("GOOGLEFINANCE(""532667"",""marketcap"")/10^7"),70108.8661131)</f>
        <v>70108.8661131</v>
      </c>
      <c r="M23" s="85" t="n">
        <f aca="false">IFERROR(__xludf.dummyfunction("GOOGLEFINANCE(""532667"",""PE"")"),61.25)</f>
        <v>61.25</v>
      </c>
      <c r="N23" s="69" t="n">
        <f aca="false">IFERROR(__xludf.dummyfunction("GOOGLEFINANCE(""532667"",""EPS"")"),0.84)</f>
        <v>0.84</v>
      </c>
      <c r="O23" s="70" t="n">
        <v>7882</v>
      </c>
      <c r="P23" s="71" t="n">
        <v>1269</v>
      </c>
      <c r="Q23" s="72" t="n">
        <v>0.16</v>
      </c>
      <c r="R23" s="70" t="n">
        <v>960</v>
      </c>
      <c r="S23" s="72" t="n">
        <v>0.12</v>
      </c>
      <c r="T23" s="71" t="n">
        <v>80</v>
      </c>
      <c r="U23" s="71" t="n">
        <v>1474</v>
      </c>
      <c r="V23" s="71" t="n">
        <v>2316</v>
      </c>
      <c r="W23" s="71" t="n">
        <v>0</v>
      </c>
      <c r="X23" s="70" t="n">
        <v>3</v>
      </c>
      <c r="Y23" s="73" t="n">
        <v>0.2496</v>
      </c>
      <c r="Z23" s="73" t="n">
        <v>0.1452</v>
      </c>
      <c r="AA23" s="73" t="n">
        <v>0.8507</v>
      </c>
      <c r="AB23" s="72" t="n">
        <v>1.24</v>
      </c>
      <c r="AC23" s="118" t="n">
        <f aca="false">L23/O23</f>
        <v>8.89480666240802</v>
      </c>
      <c r="AD23" s="94" t="n">
        <f aca="false">P23/T23</f>
        <v>15.8625</v>
      </c>
      <c r="AE23" s="94" t="n">
        <f aca="false">R23/T23</f>
        <v>12</v>
      </c>
      <c r="AF23" s="75" t="n">
        <f aca="false">H23/X23</f>
        <v>17.12</v>
      </c>
      <c r="AG23" s="76" t="s">
        <v>2</v>
      </c>
      <c r="AH23" s="119"/>
      <c r="AI23" s="120" t="s">
        <v>57</v>
      </c>
    </row>
    <row r="24" customFormat="false" ht="15.75" hidden="false" customHeight="true" outlineLevel="0" collapsed="false">
      <c r="A24" s="38" t="n">
        <v>4</v>
      </c>
      <c r="B24" s="83" t="s">
        <v>79</v>
      </c>
      <c r="C24" s="40" t="n">
        <v>998</v>
      </c>
      <c r="D24" s="40" t="n">
        <v>45</v>
      </c>
      <c r="E24" s="41" t="n">
        <f aca="false">C24*D24</f>
        <v>44910</v>
      </c>
      <c r="F24" s="42" t="n">
        <f aca="false">E24/$E$35</f>
        <v>0.0291045066296839</v>
      </c>
      <c r="G24" s="79" t="s">
        <v>80</v>
      </c>
      <c r="H24" s="44" t="n">
        <f aca="false">IFERROR(__xludf.dummyfunction("GOOGLEFINANCE(""542851"")"),372.6)</f>
        <v>372.6</v>
      </c>
      <c r="I24" s="41" t="n">
        <f aca="false">H24*D24</f>
        <v>16767</v>
      </c>
      <c r="J24" s="84" t="n">
        <f aca="false">I24-E24</f>
        <v>-28143</v>
      </c>
      <c r="K24" s="46" t="n">
        <f aca="false">J24/E24</f>
        <v>-0.626653306613227</v>
      </c>
      <c r="L24" s="47" t="n">
        <f aca="false">IFERROR(__xludf.dummyfunction("GOOGLEFINANCE(""BORORENEW"",""marketcap"")/10^7"),6985.38265)</f>
        <v>6985.38265</v>
      </c>
      <c r="M24" s="48" t="n">
        <f aca="false">IFERROR(__xludf.dummyfunction("GOOGLEFINANCE(""BORORENEW"",""PE"")"),39.51)</f>
        <v>39.51</v>
      </c>
      <c r="N24" s="48" t="n">
        <f aca="false">IFERROR(__xludf.dummyfunction("GOOGLEFINANCE(""BORORENEW"",""EPS"")"),5.57)</f>
        <v>5.57</v>
      </c>
      <c r="O24" s="49" t="n">
        <v>1328</v>
      </c>
      <c r="P24" s="50" t="n">
        <v>323</v>
      </c>
      <c r="Q24" s="51" t="n">
        <v>0.24</v>
      </c>
      <c r="R24" s="49" t="n">
        <v>98</v>
      </c>
      <c r="S24" s="51" t="n">
        <v>0.07</v>
      </c>
      <c r="T24" s="52" t="n">
        <v>-98</v>
      </c>
      <c r="U24" s="52" t="n">
        <v>-42</v>
      </c>
      <c r="V24" s="93" t="n">
        <v>-845</v>
      </c>
      <c r="W24" s="50" t="n">
        <v>5</v>
      </c>
      <c r="X24" s="49" t="n">
        <v>87</v>
      </c>
      <c r="Y24" s="53" t="n">
        <v>1.4692</v>
      </c>
      <c r="Z24" s="53" t="n">
        <v>0.215</v>
      </c>
      <c r="AA24" s="53" t="n">
        <v>1.6528</v>
      </c>
      <c r="AB24" s="51" t="n">
        <v>2.78</v>
      </c>
      <c r="AC24" s="118" t="n">
        <f aca="false">L24/O24</f>
        <v>5.26007729668675</v>
      </c>
      <c r="AD24" s="55" t="n">
        <f aca="false">P24/T24</f>
        <v>-3.29591836734694</v>
      </c>
      <c r="AE24" s="56" t="n">
        <f aca="false">R24/T24</f>
        <v>-1</v>
      </c>
      <c r="AF24" s="57" t="n">
        <f aca="false">H24/X24</f>
        <v>4.28275862068966</v>
      </c>
      <c r="AG24" s="95" t="s">
        <v>2</v>
      </c>
      <c r="AH24" s="81"/>
      <c r="AI24" s="120" t="s">
        <v>57</v>
      </c>
    </row>
    <row r="25" customFormat="false" ht="15.75" hidden="false" customHeight="false" outlineLevel="0" collapsed="false">
      <c r="A25" s="100"/>
      <c r="B25" s="101" t="s">
        <v>81</v>
      </c>
      <c r="C25" s="102"/>
      <c r="D25" s="102"/>
      <c r="E25" s="103" t="n">
        <f aca="false">SUM(E26:E28)</f>
        <v>198656</v>
      </c>
      <c r="F25" s="104" t="n">
        <f aca="false">SUM(F26:F28)</f>
        <v>0.128741591383355</v>
      </c>
      <c r="G25" s="105"/>
      <c r="H25" s="106"/>
      <c r="I25" s="103" t="n">
        <f aca="false">SUM(I26:I28)</f>
        <v>235130.6</v>
      </c>
      <c r="J25" s="103" t="n">
        <f aca="false">SUM(J26:J28)</f>
        <v>36474.6</v>
      </c>
      <c r="K25" s="107" t="n">
        <f aca="false">J25/E25</f>
        <v>0.183606837951031</v>
      </c>
      <c r="L25" s="108"/>
      <c r="M25" s="109"/>
      <c r="N25" s="109"/>
      <c r="O25" s="110"/>
      <c r="P25" s="111"/>
      <c r="Q25" s="112"/>
      <c r="R25" s="110"/>
      <c r="S25" s="112"/>
      <c r="T25" s="111"/>
      <c r="U25" s="111"/>
      <c r="V25" s="111"/>
      <c r="W25" s="111"/>
      <c r="X25" s="110"/>
      <c r="Y25" s="113"/>
      <c r="Z25" s="113"/>
      <c r="AA25" s="113"/>
      <c r="AB25" s="112"/>
      <c r="AC25" s="33"/>
      <c r="AD25" s="34"/>
      <c r="AE25" s="34"/>
      <c r="AF25" s="114"/>
      <c r="AG25" s="36"/>
      <c r="AH25" s="36"/>
      <c r="AI25" s="37"/>
    </row>
    <row r="26" customFormat="false" ht="15.75" hidden="false" customHeight="true" outlineLevel="0" collapsed="false">
      <c r="A26" s="38" t="n">
        <v>1</v>
      </c>
      <c r="B26" s="89" t="s">
        <v>82</v>
      </c>
      <c r="C26" s="40" t="n">
        <v>580</v>
      </c>
      <c r="D26" s="40" t="n">
        <v>60</v>
      </c>
      <c r="E26" s="41" t="n">
        <f aca="false">C26*D26</f>
        <v>34800</v>
      </c>
      <c r="F26" s="42" t="n">
        <f aca="false">E26/$E$35</f>
        <v>0.0225525903075707</v>
      </c>
      <c r="G26" s="79" t="s">
        <v>83</v>
      </c>
      <c r="H26" s="44" t="n">
        <f aca="false">IFERROR(__xludf.dummyfunction("GOOGLEFINANCE(""543517"")"),355.75)</f>
        <v>355.75</v>
      </c>
      <c r="I26" s="41" t="n">
        <f aca="false">H26*D26</f>
        <v>21345</v>
      </c>
      <c r="J26" s="84" t="n">
        <f aca="false">I26-E26</f>
        <v>-13455</v>
      </c>
      <c r="K26" s="46" t="n">
        <f aca="false">J26/E26</f>
        <v>-0.386637931034483</v>
      </c>
      <c r="L26" s="47" t="n">
        <f aca="false">IFERROR(__xludf.dummyfunction("GOOGLEFINANCE(""543517"",""marketcap"")/10^7"),1094.6937015)</f>
        <v>1094.6937015</v>
      </c>
      <c r="M26" s="48" t="n">
        <f aca="false">IFERROR(__xludf.dummyfunction("GOOGLEFINANCE(""543517"", ""PE"")"),17.98)</f>
        <v>17.98</v>
      </c>
      <c r="N26" s="48" t="n">
        <f aca="false">IFERROR(__xludf.dummyfunction("GOOGLEFINANCE(""543517"", ""EPS"")"),19.78)</f>
        <v>19.78</v>
      </c>
      <c r="O26" s="49" t="n">
        <v>1268</v>
      </c>
      <c r="P26" s="50" t="n">
        <v>162</v>
      </c>
      <c r="Q26" s="51" t="n">
        <v>0.13</v>
      </c>
      <c r="R26" s="49" t="n">
        <v>60</v>
      </c>
      <c r="S26" s="51" t="n">
        <v>0.05</v>
      </c>
      <c r="T26" s="50" t="n">
        <v>5</v>
      </c>
      <c r="U26" s="52" t="n">
        <v>-81</v>
      </c>
      <c r="V26" s="93" t="n">
        <v>-417</v>
      </c>
      <c r="W26" s="50" t="n">
        <v>1</v>
      </c>
      <c r="X26" s="49" t="n">
        <v>164</v>
      </c>
      <c r="Y26" s="53" t="n">
        <v>0.6556</v>
      </c>
      <c r="Z26" s="53" t="n">
        <v>0.1242</v>
      </c>
      <c r="AA26" s="53" t="n">
        <v>0.5542</v>
      </c>
      <c r="AB26" s="48"/>
      <c r="AC26" s="54" t="n">
        <f aca="false">L26/O26</f>
        <v>0.863323108438486</v>
      </c>
      <c r="AD26" s="80" t="n">
        <f aca="false">P26/T26</f>
        <v>32.4</v>
      </c>
      <c r="AE26" s="80" t="n">
        <f aca="false">R26/T26</f>
        <v>12</v>
      </c>
      <c r="AF26" s="57" t="n">
        <f aca="false">H26/X26</f>
        <v>2.16920731707317</v>
      </c>
      <c r="AG26" s="95" t="s">
        <v>2</v>
      </c>
      <c r="AH26" s="81"/>
      <c r="AI26" s="120" t="s">
        <v>57</v>
      </c>
    </row>
    <row r="27" customFormat="false" ht="16.4" hidden="false" customHeight="false" outlineLevel="0" collapsed="false">
      <c r="A27" s="60" t="n">
        <v>2</v>
      </c>
      <c r="B27" s="61" t="s">
        <v>84</v>
      </c>
      <c r="C27" s="62" t="n">
        <v>1517</v>
      </c>
      <c r="D27" s="62" t="n">
        <v>56</v>
      </c>
      <c r="E27" s="63" t="n">
        <f aca="false">C27*D27</f>
        <v>84952</v>
      </c>
      <c r="F27" s="64" t="n">
        <f aca="false">E27/$E$35</f>
        <v>0.0550542428680673</v>
      </c>
      <c r="G27" s="121" t="s">
        <v>85</v>
      </c>
      <c r="H27" s="66" t="n">
        <f aca="false">IFERROR(__xludf.dummyfunction("GOOGLEFINANCE(""ASTRAL"")"),1317.6)</f>
        <v>1317.6</v>
      </c>
      <c r="I27" s="63" t="n">
        <f aca="false">H27*D27</f>
        <v>73785.6</v>
      </c>
      <c r="J27" s="84" t="n">
        <f aca="false">I27-E27</f>
        <v>-11166.4</v>
      </c>
      <c r="K27" s="67" t="n">
        <f aca="false">J27/E27</f>
        <v>-0.131443638760712</v>
      </c>
      <c r="L27" s="68" t="n">
        <f aca="false">IFERROR(__xludf.dummyfunction("GOOGLEFINANCE(""ASTRAL"",""marketcap"")/10^7"),35397.9931073)</f>
        <v>35397.9931073</v>
      </c>
      <c r="M27" s="85" t="n">
        <f aca="false">IFERROR(__xludf.dummyfunction("GOOGLEFINANCE(""ASTRAL"",""PE"")"),67.13)</f>
        <v>67.13</v>
      </c>
      <c r="N27" s="69" t="n">
        <f aca="false">IFERROR(__xludf.dummyfunction("GOOGLEFINANCE(""ASTRAL"",""EPS"")"),19.59)</f>
        <v>19.59</v>
      </c>
      <c r="O27" s="70" t="n">
        <v>5749</v>
      </c>
      <c r="P27" s="71" t="n">
        <v>921</v>
      </c>
      <c r="Q27" s="72" t="n">
        <v>0.16</v>
      </c>
      <c r="R27" s="70" t="n">
        <v>526</v>
      </c>
      <c r="S27" s="72" t="n">
        <v>0.09</v>
      </c>
      <c r="T27" s="71" t="n">
        <v>823</v>
      </c>
      <c r="U27" s="71" t="n">
        <v>2993</v>
      </c>
      <c r="V27" s="71" t="n">
        <v>1729</v>
      </c>
      <c r="W27" s="71" t="n">
        <v>0</v>
      </c>
      <c r="X27" s="70" t="n">
        <v>119</v>
      </c>
      <c r="Y27" s="73" t="n">
        <v>0.211</v>
      </c>
      <c r="Z27" s="73" t="n">
        <v>0.1637</v>
      </c>
      <c r="AA27" s="73" t="n">
        <v>0.1053</v>
      </c>
      <c r="AB27" s="72" t="n">
        <v>0.18</v>
      </c>
      <c r="AC27" s="118" t="n">
        <f aca="false">L27/O27</f>
        <v>6.1572435392764</v>
      </c>
      <c r="AD27" s="94" t="n">
        <f aca="false">P27/T27</f>
        <v>1.11907654921021</v>
      </c>
      <c r="AE27" s="94" t="n">
        <f aca="false">R27/T27</f>
        <v>0.639125151883354</v>
      </c>
      <c r="AF27" s="75" t="n">
        <f aca="false">H27/X27</f>
        <v>11.072268907563</v>
      </c>
      <c r="AG27" s="95" t="s">
        <v>2</v>
      </c>
      <c r="AH27" s="119"/>
      <c r="AI27" s="122"/>
    </row>
    <row r="28" customFormat="false" ht="16.4" hidden="false" customHeight="false" outlineLevel="0" collapsed="false">
      <c r="A28" s="38" t="n">
        <v>3</v>
      </c>
      <c r="B28" s="39" t="s">
        <v>86</v>
      </c>
      <c r="C28" s="40" t="n">
        <v>2818</v>
      </c>
      <c r="D28" s="40" t="n">
        <v>28</v>
      </c>
      <c r="E28" s="41" t="n">
        <f aca="false">C28*D28</f>
        <v>78904</v>
      </c>
      <c r="F28" s="42" t="n">
        <f aca="false">E28/$E$35</f>
        <v>0.0511347582077171</v>
      </c>
      <c r="G28" s="79" t="s">
        <v>87</v>
      </c>
      <c r="H28" s="44" t="n">
        <f aca="false">IFERROR(__xludf.dummyfunction("GOOGLEFINANCE(""542652"")"),5000)</f>
        <v>5000</v>
      </c>
      <c r="I28" s="41" t="n">
        <f aca="false">H28*D28</f>
        <v>140000</v>
      </c>
      <c r="J28" s="45" t="n">
        <f aca="false">I28-E28</f>
        <v>61096</v>
      </c>
      <c r="K28" s="46" t="n">
        <f aca="false">J28/E28</f>
        <v>0.77430801987225</v>
      </c>
      <c r="L28" s="47" t="n">
        <f aca="false">IFERROR(__xludf.dummyfunction("GOOGLEFINANCE(""542652"",""marketcap"")/10^7"),75253.0712829)</f>
        <v>75253.0712829</v>
      </c>
      <c r="M28" s="48" t="n">
        <f aca="false">IFERROR(__xludf.dummyfunction("GOOGLEFINANCE(""542652"",""PE"")"),40.91)</f>
        <v>40.91</v>
      </c>
      <c r="N28" s="48" t="n">
        <f aca="false">IFERROR(__xludf.dummyfunction("GOOGLEFINANCE(""542652"",""EPS"")"),121.97)</f>
        <v>121.97</v>
      </c>
      <c r="O28" s="49" t="n">
        <v>20129</v>
      </c>
      <c r="P28" s="50" t="n">
        <v>2546</v>
      </c>
      <c r="Q28" s="51" t="n">
        <v>0.13</v>
      </c>
      <c r="R28" s="49" t="n">
        <v>1795</v>
      </c>
      <c r="S28" s="51" t="n">
        <v>0.09</v>
      </c>
      <c r="T28" s="50" t="n">
        <v>1296</v>
      </c>
      <c r="U28" s="50" t="n">
        <v>4732</v>
      </c>
      <c r="V28" s="50" t="n">
        <v>3285</v>
      </c>
      <c r="W28" s="50" t="n">
        <v>0</v>
      </c>
      <c r="X28" s="49" t="n">
        <v>546</v>
      </c>
      <c r="Y28" s="53" t="n">
        <v>0.2707</v>
      </c>
      <c r="Z28" s="53" t="n">
        <v>0.1262</v>
      </c>
      <c r="AA28" s="53" t="n">
        <v>0.2646</v>
      </c>
      <c r="AB28" s="51" t="n">
        <v>0.55</v>
      </c>
      <c r="AC28" s="54" t="n">
        <f aca="false">L28/O28</f>
        <v>3.73853998126584</v>
      </c>
      <c r="AD28" s="80" t="n">
        <f aca="false">P28/T28</f>
        <v>1.96450617283951</v>
      </c>
      <c r="AE28" s="80" t="n">
        <f aca="false">R28/T28</f>
        <v>1.38503086419753</v>
      </c>
      <c r="AF28" s="75" t="n">
        <f aca="false">H28/X28</f>
        <v>9.15750915750916</v>
      </c>
      <c r="AG28" s="81" t="s">
        <v>40</v>
      </c>
      <c r="AH28" s="81"/>
      <c r="AI28" s="82"/>
    </row>
    <row r="29" customFormat="false" ht="15.75" hidden="false" customHeight="false" outlineLevel="0" collapsed="false">
      <c r="A29" s="19"/>
      <c r="B29" s="20" t="s">
        <v>88</v>
      </c>
      <c r="C29" s="123"/>
      <c r="D29" s="123"/>
      <c r="E29" s="22" t="n">
        <f aca="false">SUM(E30:E34)</f>
        <v>255709</v>
      </c>
      <c r="F29" s="23" t="n">
        <f aca="false">SUM(F30:F34)</f>
        <v>0.165715526291914</v>
      </c>
      <c r="G29" s="124"/>
      <c r="H29" s="25"/>
      <c r="I29" s="22" t="n">
        <f aca="false">SUM(I30:I34)</f>
        <v>233320.35</v>
      </c>
      <c r="J29" s="22" t="n">
        <f aca="false">SUM(J30:J34)</f>
        <v>-22388.65</v>
      </c>
      <c r="K29" s="26" t="n">
        <f aca="false">J29/E29</f>
        <v>-0.0875551896882785</v>
      </c>
      <c r="L29" s="27"/>
      <c r="M29" s="28"/>
      <c r="N29" s="28"/>
      <c r="O29" s="29"/>
      <c r="P29" s="30"/>
      <c r="Q29" s="31"/>
      <c r="R29" s="29"/>
      <c r="S29" s="31"/>
      <c r="T29" s="30"/>
      <c r="U29" s="30"/>
      <c r="V29" s="30"/>
      <c r="W29" s="30"/>
      <c r="X29" s="29"/>
      <c r="Y29" s="32"/>
      <c r="Z29" s="32"/>
      <c r="AA29" s="32"/>
      <c r="AB29" s="31"/>
      <c r="AC29" s="33"/>
      <c r="AD29" s="34"/>
      <c r="AE29" s="34"/>
      <c r="AF29" s="35"/>
      <c r="AG29" s="36"/>
      <c r="AH29" s="36"/>
      <c r="AI29" s="37"/>
    </row>
    <row r="30" customFormat="false" ht="16.4" hidden="false" customHeight="false" outlineLevel="0" collapsed="false">
      <c r="A30" s="38" t="n">
        <v>1</v>
      </c>
      <c r="B30" s="89" t="s">
        <v>89</v>
      </c>
      <c r="C30" s="40" t="n">
        <v>1610</v>
      </c>
      <c r="D30" s="40" t="n">
        <v>32</v>
      </c>
      <c r="E30" s="41" t="n">
        <f aca="false">C30*D30</f>
        <v>51520</v>
      </c>
      <c r="F30" s="42" t="n">
        <f aca="false">E30/$E$35</f>
        <v>0.0333882026622426</v>
      </c>
      <c r="G30" s="79" t="s">
        <v>90</v>
      </c>
      <c r="H30" s="44" t="n">
        <f aca="false">IFERROR(__xludf.dummyfunction("GOOGLEFINANCE(""543318"")"),1237.45)</f>
        <v>1237.45</v>
      </c>
      <c r="I30" s="41" t="n">
        <f aca="false">H30*D30</f>
        <v>39598.4</v>
      </c>
      <c r="J30" s="84" t="n">
        <f aca="false">I30-E30</f>
        <v>-11921.6</v>
      </c>
      <c r="K30" s="46" t="n">
        <f aca="false">J30/E30</f>
        <v>-0.23139751552795</v>
      </c>
      <c r="L30" s="47" t="n">
        <f aca="false">IFERROR(__xludf.dummyfunction("GOOGLEFINANCE(""543318"",""marketcap"")/10^7"),13158.0899442)</f>
        <v>13158.0899442</v>
      </c>
      <c r="M30" s="48" t="n">
        <f aca="false">IFERROR(__xludf.dummyfunction("GOOGLEFINANCE(""543318"",""PE"")"),50.37)</f>
        <v>50.37</v>
      </c>
      <c r="N30" s="48" t="n">
        <f aca="false">IFERROR(__xludf.dummyfunction("GOOGLEFINANCE(""543318"",""EPS"")"),24.52)</f>
        <v>24.52</v>
      </c>
      <c r="O30" s="49" t="n">
        <v>884</v>
      </c>
      <c r="P30" s="50" t="n">
        <v>365</v>
      </c>
      <c r="Q30" s="51" t="n">
        <v>0.41</v>
      </c>
      <c r="R30" s="49" t="n">
        <v>258</v>
      </c>
      <c r="S30" s="51" t="n">
        <v>0.29</v>
      </c>
      <c r="T30" s="50" t="n">
        <v>237</v>
      </c>
      <c r="U30" s="50" t="n">
        <v>997</v>
      </c>
      <c r="V30" s="50" t="n">
        <v>434</v>
      </c>
      <c r="W30" s="50" t="n">
        <v>0</v>
      </c>
      <c r="X30" s="49" t="n">
        <v>113</v>
      </c>
      <c r="Y30" s="53" t="n">
        <v>0.1559</v>
      </c>
      <c r="Z30" s="53" t="n">
        <v>0.4291</v>
      </c>
      <c r="AA30" s="53" t="n">
        <v>0.0715</v>
      </c>
      <c r="AB30" s="48"/>
      <c r="AC30" s="118" t="n">
        <f aca="false">L30/O30</f>
        <v>14.884717131448</v>
      </c>
      <c r="AD30" s="80" t="n">
        <f aca="false">P30/T30</f>
        <v>1.54008438818565</v>
      </c>
      <c r="AE30" s="80" t="n">
        <f aca="false">R30/T30</f>
        <v>1.08860759493671</v>
      </c>
      <c r="AF30" s="75" t="n">
        <f aca="false">H30/X30</f>
        <v>10.9508849557522</v>
      </c>
      <c r="AG30" s="76" t="s">
        <v>2</v>
      </c>
      <c r="AH30" s="81"/>
      <c r="AI30" s="120" t="s">
        <v>57</v>
      </c>
    </row>
    <row r="31" customFormat="false" ht="16.4" hidden="false" customHeight="false" outlineLevel="0" collapsed="false">
      <c r="A31" s="60" t="n">
        <v>2</v>
      </c>
      <c r="B31" s="83" t="s">
        <v>91</v>
      </c>
      <c r="C31" s="62" t="n">
        <v>2248</v>
      </c>
      <c r="D31" s="62" t="n">
        <v>27</v>
      </c>
      <c r="E31" s="63" t="n">
        <f aca="false">C31*D31</f>
        <v>60696</v>
      </c>
      <c r="F31" s="64" t="n">
        <f aca="false">E31/$E$35</f>
        <v>0.0393348281985146</v>
      </c>
      <c r="G31" s="79" t="s">
        <v>92</v>
      </c>
      <c r="H31" s="66" t="n">
        <f aca="false">IFERROR(__xludf.dummyfunction("GOOGLEFINANCE(""506401"")"),1927.9)</f>
        <v>1927.9</v>
      </c>
      <c r="I31" s="63" t="n">
        <f aca="false">H31*D31</f>
        <v>52053.3</v>
      </c>
      <c r="J31" s="84" t="n">
        <f aca="false">I31-E31</f>
        <v>-8642.7</v>
      </c>
      <c r="K31" s="67" t="n">
        <f aca="false">J31/E31</f>
        <v>-0.142393238434164</v>
      </c>
      <c r="L31" s="68" t="n">
        <f aca="false">IFERROR(__xludf.dummyfunction("GOOGLEFINANCE(""524200"",""marketcap"")/10^7"),16138.14228)</f>
        <v>16138.14228</v>
      </c>
      <c r="M31" s="69" t="n">
        <f aca="false">IFERROR(__xludf.dummyfunction("GOOGLEFINANCE(""524200"",""PE"")"),41.86)</f>
        <v>41.86</v>
      </c>
      <c r="N31" s="69" t="n">
        <f aca="false">IFERROR(__xludf.dummyfunction("GOOGLEFINANCE(""524200"",""EPS"")"),37.26)</f>
        <v>37.26</v>
      </c>
      <c r="O31" s="70" t="n">
        <v>8334</v>
      </c>
      <c r="P31" s="71" t="n">
        <v>1212</v>
      </c>
      <c r="Q31" s="72" t="n">
        <v>0.15</v>
      </c>
      <c r="R31" s="70" t="n">
        <v>853</v>
      </c>
      <c r="S31" s="72" t="n">
        <v>0.1</v>
      </c>
      <c r="T31" s="71" t="n">
        <v>878</v>
      </c>
      <c r="U31" s="71" t="n">
        <v>4118</v>
      </c>
      <c r="V31" s="71" t="n">
        <v>2802</v>
      </c>
      <c r="W31" s="71" t="n">
        <v>0</v>
      </c>
      <c r="X31" s="70" t="n">
        <v>352</v>
      </c>
      <c r="Y31" s="73" t="n">
        <v>0.2078</v>
      </c>
      <c r="Z31" s="73" t="n">
        <v>0.1793</v>
      </c>
      <c r="AA31" s="73" t="n">
        <v>0.0149</v>
      </c>
      <c r="AB31" s="72" t="n">
        <v>0.09</v>
      </c>
      <c r="AC31" s="74" t="n">
        <f aca="false">L31/O31</f>
        <v>1.93642215982721</v>
      </c>
      <c r="AD31" s="94" t="n">
        <f aca="false">P31/T31</f>
        <v>1.38041002277904</v>
      </c>
      <c r="AE31" s="94" t="n">
        <f aca="false">R31/T31</f>
        <v>0.971526195899772</v>
      </c>
      <c r="AF31" s="86" t="n">
        <f aca="false">H31/X31</f>
        <v>5.47698863636364</v>
      </c>
      <c r="AG31" s="95" t="s">
        <v>2</v>
      </c>
      <c r="AH31" s="87"/>
      <c r="AI31" s="88"/>
    </row>
    <row r="32" customFormat="false" ht="16.4" hidden="false" customHeight="false" outlineLevel="0" collapsed="false">
      <c r="A32" s="38" t="n">
        <v>3</v>
      </c>
      <c r="B32" s="83" t="s">
        <v>93</v>
      </c>
      <c r="C32" s="40" t="n">
        <v>4284</v>
      </c>
      <c r="D32" s="40" t="n">
        <v>16</v>
      </c>
      <c r="E32" s="41" t="n">
        <f aca="false">C32*D32</f>
        <v>68544</v>
      </c>
      <c r="F32" s="42" t="n">
        <f aca="false">E32/$E$35</f>
        <v>0.0444208261506358</v>
      </c>
      <c r="G32" s="79" t="s">
        <v>94</v>
      </c>
      <c r="H32" s="44" t="n">
        <f aca="false">IFERROR(__xludf.dummyfunction("GOOGLEFINANCE(""541557"")"),3743)</f>
        <v>3743</v>
      </c>
      <c r="I32" s="41" t="n">
        <f aca="false">H32*D32</f>
        <v>59888</v>
      </c>
      <c r="J32" s="84" t="n">
        <f aca="false">I32-E32</f>
        <v>-8656</v>
      </c>
      <c r="K32" s="46" t="n">
        <f aca="false">J32/E32</f>
        <v>-0.126283846872082</v>
      </c>
      <c r="L32" s="47" t="n">
        <f aca="false">IFERROR(__xludf.dummyfunction("GOOGLEFINANCE(""524200"",""marketcap"")/10^7"),16138.14228)</f>
        <v>16138.14228</v>
      </c>
      <c r="M32" s="48" t="n">
        <f aca="false">IFERROR(__xludf.dummyfunction("GOOGLEFINANCE(""524200"",""PE"")"),41.86)</f>
        <v>41.86</v>
      </c>
      <c r="N32" s="48" t="n">
        <f aca="false">IFERROR(__xludf.dummyfunction("GOOGLEFINANCE(""524200"",""EPS"")"),37.26)</f>
        <v>37.26</v>
      </c>
      <c r="O32" s="49" t="n">
        <v>2051</v>
      </c>
      <c r="P32" s="50" t="n">
        <v>489</v>
      </c>
      <c r="Q32" s="51" t="n">
        <v>0.24</v>
      </c>
      <c r="R32" s="49" t="n">
        <v>386</v>
      </c>
      <c r="S32" s="51" t="n">
        <v>0.19</v>
      </c>
      <c r="T32" s="50" t="n">
        <v>606</v>
      </c>
      <c r="U32" s="50" t="n">
        <v>1466</v>
      </c>
      <c r="V32" s="50" t="n">
        <v>1388</v>
      </c>
      <c r="W32" s="50" t="n">
        <v>0</v>
      </c>
      <c r="X32" s="49" t="n">
        <v>606</v>
      </c>
      <c r="Y32" s="53" t="n">
        <v>0.2028</v>
      </c>
      <c r="Z32" s="53" t="n">
        <v>0.2355</v>
      </c>
      <c r="AA32" s="53" t="n">
        <v>0.4733</v>
      </c>
      <c r="AB32" s="51" t="n">
        <v>0.21</v>
      </c>
      <c r="AC32" s="118" t="n">
        <f aca="false">L32/O32</f>
        <v>7.86842627011214</v>
      </c>
      <c r="AD32" s="80" t="n">
        <f aca="false">P32/T32</f>
        <v>0.806930693069307</v>
      </c>
      <c r="AE32" s="80" t="n">
        <f aca="false">R32/T32</f>
        <v>0.636963696369637</v>
      </c>
      <c r="AF32" s="57" t="n">
        <f aca="false">H32/X32</f>
        <v>6.17656765676568</v>
      </c>
      <c r="AG32" s="95" t="s">
        <v>2</v>
      </c>
      <c r="AH32" s="58"/>
      <c r="AI32" s="59"/>
    </row>
    <row r="33" customFormat="false" ht="16.4" hidden="false" customHeight="false" outlineLevel="0" collapsed="false">
      <c r="A33" s="60" t="n">
        <v>4</v>
      </c>
      <c r="B33" s="83" t="s">
        <v>95</v>
      </c>
      <c r="C33" s="62" t="n">
        <v>2037</v>
      </c>
      <c r="D33" s="62" t="n">
        <v>8</v>
      </c>
      <c r="E33" s="63" t="n">
        <f aca="false">C33*D33</f>
        <v>16296</v>
      </c>
      <c r="F33" s="64" t="n">
        <f aca="false">E33/$E$35</f>
        <v>0.0105608336681659</v>
      </c>
      <c r="G33" s="79" t="s">
        <v>96</v>
      </c>
      <c r="H33" s="66" t="n">
        <f aca="false">IFERROR(__xludf.dummyfunction("GOOGLEFINANCE(""533282"")"),1614.2)</f>
        <v>1614.2</v>
      </c>
      <c r="I33" s="63" t="n">
        <f aca="false">H33*D33</f>
        <v>12913.6</v>
      </c>
      <c r="J33" s="84" t="n">
        <f aca="false">I33-E33</f>
        <v>-3382.4</v>
      </c>
      <c r="K33" s="67" t="n">
        <f aca="false">J33/E33</f>
        <v>-0.207560137457045</v>
      </c>
      <c r="L33" s="68" t="n">
        <f aca="false">IFERROR(__xludf.dummyfunction("GOOGLEFINANCE(""524200"",""marketcap"")/10^7"),16138.14228)</f>
        <v>16138.14228</v>
      </c>
      <c r="M33" s="69" t="n">
        <f aca="false">IFERROR(__xludf.dummyfunction("GOOGLEFINANCE(""524200"",""PE"")"),41.86)</f>
        <v>41.86</v>
      </c>
      <c r="N33" s="69" t="n">
        <f aca="false">IFERROR(__xludf.dummyfunction("GOOGLEFINANCE(""524200"",""EPS"")"),37.26)</f>
        <v>37.26</v>
      </c>
      <c r="O33" s="71" t="n">
        <v>3456</v>
      </c>
      <c r="P33" s="71" t="n">
        <v>304</v>
      </c>
      <c r="Q33" s="117" t="n">
        <v>0.09</v>
      </c>
      <c r="R33" s="70" t="n">
        <v>269</v>
      </c>
      <c r="S33" s="72" t="n">
        <v>0.08</v>
      </c>
      <c r="T33" s="71" t="n">
        <v>42</v>
      </c>
      <c r="U33" s="71" t="n">
        <v>362</v>
      </c>
      <c r="V33" s="71" t="n">
        <v>154</v>
      </c>
      <c r="W33" s="71" t="n">
        <v>1</v>
      </c>
      <c r="X33" s="70" t="n">
        <v>121</v>
      </c>
      <c r="Y33" s="73" t="n">
        <v>0.3088</v>
      </c>
      <c r="Z33" s="73" t="n">
        <v>0.0871</v>
      </c>
      <c r="AA33" s="73" t="n">
        <v>0.6581</v>
      </c>
      <c r="AB33" s="72" t="n">
        <v>1.23</v>
      </c>
      <c r="AC33" s="118" t="n">
        <f aca="false">L33/O33</f>
        <v>4.66960135416667</v>
      </c>
      <c r="AD33" s="94" t="n">
        <f aca="false">P33/T33</f>
        <v>7.23809523809524</v>
      </c>
      <c r="AE33" s="94" t="n">
        <f aca="false">R33/T33</f>
        <v>6.40476190476191</v>
      </c>
      <c r="AF33" s="86" t="n">
        <f aca="false">H33/X33</f>
        <v>13.3404958677686</v>
      </c>
      <c r="AG33" s="95" t="s">
        <v>2</v>
      </c>
      <c r="AH33" s="87"/>
      <c r="AI33" s="88"/>
    </row>
    <row r="34" customFormat="false" ht="16.4" hidden="false" customHeight="false" outlineLevel="0" collapsed="false">
      <c r="A34" s="38" t="n">
        <v>5</v>
      </c>
      <c r="B34" s="39" t="s">
        <v>97</v>
      </c>
      <c r="C34" s="40" t="n">
        <v>1197</v>
      </c>
      <c r="D34" s="40" t="n">
        <v>49</v>
      </c>
      <c r="E34" s="41" t="n">
        <f aca="false">C34*D34</f>
        <v>58653</v>
      </c>
      <c r="F34" s="42" t="n">
        <f aca="false">E34/$E$35</f>
        <v>0.0380108356123547</v>
      </c>
      <c r="G34" s="79" t="s">
        <v>98</v>
      </c>
      <c r="H34" s="44" t="n">
        <f aca="false">IFERROR(__xludf.dummyfunction("GOOGLEFINANCE(""540719"")"),1405.45)</f>
        <v>1405.45</v>
      </c>
      <c r="I34" s="41" t="n">
        <f aca="false">H34*D34</f>
        <v>68867.05</v>
      </c>
      <c r="J34" s="45" t="n">
        <f aca="false">I34-E34</f>
        <v>10214.05</v>
      </c>
      <c r="K34" s="46" t="n">
        <f aca="false">J34/E34</f>
        <v>0.174143692564745</v>
      </c>
      <c r="L34" s="47" t="n">
        <f aca="false">IFERROR(__xludf.dummyfunction("GOOGLEFINANCE(""540768"",""marketcap"")/10^7"),1824.9982828)</f>
        <v>1824.9982828</v>
      </c>
      <c r="M34" s="48" t="str">
        <f aca="false">IFERROR(__xludf.dummyfunction("GOOGLEFINANCE(""540768"",""PE"")"),"#N/A")</f>
        <v>#N/A</v>
      </c>
      <c r="N34" s="48" t="n">
        <f aca="false">IFERROR(__xludf.dummyfunction("GOOGLEFINANCE(""540768"",""EPS"")"),-5.82)</f>
        <v>-5.82</v>
      </c>
      <c r="O34" s="49" t="n">
        <v>150243</v>
      </c>
      <c r="P34" s="50" t="n">
        <v>763</v>
      </c>
      <c r="Q34" s="117" t="n">
        <v>0.01</v>
      </c>
      <c r="R34" s="49" t="n">
        <v>2181</v>
      </c>
      <c r="S34" s="117" t="n">
        <v>0.01</v>
      </c>
      <c r="T34" s="50" t="n">
        <v>29122</v>
      </c>
      <c r="U34" s="50" t="n">
        <v>122806</v>
      </c>
      <c r="V34" s="50" t="n">
        <v>122197</v>
      </c>
      <c r="W34" s="50" t="n">
        <v>0</v>
      </c>
      <c r="X34" s="49" t="n">
        <v>149</v>
      </c>
      <c r="Y34" s="53" t="n">
        <v>0.1724</v>
      </c>
      <c r="Z34" s="53" t="n">
        <v>0.0037</v>
      </c>
      <c r="AA34" s="53" t="n">
        <v>0.0916</v>
      </c>
      <c r="AB34" s="51" t="n">
        <v>0.19</v>
      </c>
      <c r="AC34" s="54" t="n">
        <f aca="false">L34/O34</f>
        <v>0.0121469771157392</v>
      </c>
      <c r="AD34" s="55" t="n">
        <f aca="false">P34/T34</f>
        <v>0.0262001236178834</v>
      </c>
      <c r="AE34" s="56" t="n">
        <f aca="false">R34/T34</f>
        <v>0.0748918343520363</v>
      </c>
      <c r="AF34" s="75" t="n">
        <f aca="false">H34/X34</f>
        <v>9.43255033557047</v>
      </c>
      <c r="AG34" s="76" t="s">
        <v>2</v>
      </c>
      <c r="AH34" s="81"/>
      <c r="AI34" s="120" t="s">
        <v>57</v>
      </c>
    </row>
    <row r="35" customFormat="false" ht="15.75" hidden="false" customHeight="false" outlineLevel="0" collapsed="false">
      <c r="A35" s="125"/>
      <c r="B35" s="126"/>
      <c r="C35" s="127"/>
      <c r="D35" s="127"/>
      <c r="E35" s="128" t="n">
        <f aca="false">E29+E25+E20+E16+E9+E3</f>
        <v>1543060</v>
      </c>
      <c r="F35" s="128" t="n">
        <f aca="false">E35/$E$35</f>
        <v>1</v>
      </c>
      <c r="G35" s="128"/>
      <c r="H35" s="128"/>
      <c r="I35" s="128" t="n">
        <f aca="false">I29+I25+I20+I16+I9+I3</f>
        <v>1591409.65</v>
      </c>
      <c r="J35" s="128" t="n">
        <f aca="false">J29+J25+J20+J16+J9+J3</f>
        <v>48349.65</v>
      </c>
      <c r="K35" s="129" t="n">
        <f aca="false">J35/E35</f>
        <v>0.0313336163208171</v>
      </c>
      <c r="L35" s="128"/>
      <c r="M35" s="128"/>
      <c r="N35" s="128"/>
      <c r="O35" s="130"/>
      <c r="P35" s="130"/>
      <c r="Q35" s="130"/>
      <c r="R35" s="130"/>
      <c r="S35" s="130"/>
      <c r="T35" s="130"/>
      <c r="U35" s="130"/>
      <c r="V35" s="130"/>
      <c r="W35" s="130"/>
      <c r="X35" s="131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2"/>
    </row>
    <row r="36" customFormat="false" ht="15.75" hidden="false" customHeight="false" outlineLevel="0" collapsed="false">
      <c r="H36" s="133"/>
      <c r="J36" s="134"/>
      <c r="X36" s="135"/>
    </row>
    <row r="37" customFormat="false" ht="15.75" hidden="false" customHeight="false" outlineLevel="0" collapsed="false">
      <c r="H37" s="133"/>
      <c r="X37" s="135"/>
      <c r="AG37" s="3" t="s">
        <v>99</v>
      </c>
    </row>
    <row r="38" customFormat="false" ht="16.4" hidden="false" customHeight="false" outlineLevel="0" collapsed="false">
      <c r="A38" s="136" t="n">
        <v>7</v>
      </c>
      <c r="B38" s="136" t="s">
        <v>100</v>
      </c>
      <c r="C38" s="137" t="n">
        <v>1647</v>
      </c>
      <c r="D38" s="137" t="n">
        <v>36</v>
      </c>
      <c r="E38" s="138" t="n">
        <f aca="false">C38*D38</f>
        <v>59292</v>
      </c>
      <c r="F38" s="139" t="n">
        <f aca="false">E38/$E$35</f>
        <v>0.0384249478309333</v>
      </c>
      <c r="G38" s="79" t="s">
        <v>101</v>
      </c>
      <c r="H38" s="140" t="n">
        <f aca="false">IFERROR(__xludf.dummyfunction("GOOGLEFINANCE(""500209"")"),1725.3)</f>
        <v>1725.3</v>
      </c>
      <c r="I38" s="138" t="n">
        <f aca="false">H38*D38</f>
        <v>62110.8</v>
      </c>
      <c r="J38" s="138" t="n">
        <f aca="false">I38-E38</f>
        <v>2818.8</v>
      </c>
      <c r="K38" s="141" t="n">
        <f aca="false">J38/E38</f>
        <v>0.0475409836065573</v>
      </c>
      <c r="L38" s="142" t="n">
        <f aca="false">IFERROR(__xludf.dummyfunction("GOOGLEFINANCE(""500209"",""marketcap"")/10^7"),713971.5159649)</f>
        <v>713971.5159649</v>
      </c>
      <c r="M38" s="143" t="n">
        <f aca="false">IFERROR(__xludf.dummyfunction("GOOGLEFINANCE(""500209"",""PE"")"),25.86)</f>
        <v>25.86</v>
      </c>
      <c r="N38" s="143" t="n">
        <f aca="false">IFERROR(__xludf.dummyfunction("GOOGLEFINANCE(""500209"",""EPS"")"),66.63)</f>
        <v>66.63</v>
      </c>
      <c r="O38" s="144" t="n">
        <v>157045</v>
      </c>
      <c r="P38" s="145" t="n">
        <v>37167</v>
      </c>
      <c r="Q38" s="146" t="n">
        <v>0.24</v>
      </c>
      <c r="R38" s="144" t="n">
        <v>26949</v>
      </c>
      <c r="S38" s="146" t="n">
        <v>0.17</v>
      </c>
      <c r="T38" s="145" t="n">
        <v>25210</v>
      </c>
      <c r="U38" s="145" t="n">
        <v>111789</v>
      </c>
      <c r="V38" s="145" t="n">
        <v>100972</v>
      </c>
      <c r="W38" s="145" t="n">
        <v>0</v>
      </c>
      <c r="X38" s="144" t="n">
        <v>212</v>
      </c>
      <c r="Y38" s="147" t="n">
        <v>0.1522</v>
      </c>
      <c r="Z38" s="147" t="n">
        <v>0.2441</v>
      </c>
      <c r="AA38" s="147" t="n">
        <v>0.1067</v>
      </c>
      <c r="AB38" s="146" t="n">
        <v>0.02</v>
      </c>
      <c r="AC38" s="148" t="n">
        <f aca="false">L38/O38</f>
        <v>4.54628619799994</v>
      </c>
      <c r="AD38" s="149" t="n">
        <f aca="false">P38/T38</f>
        <v>1.47429591431971</v>
      </c>
      <c r="AE38" s="149" t="n">
        <f aca="false">R38/T38</f>
        <v>1.06898056326854</v>
      </c>
      <c r="AF38" s="150" t="n">
        <f aca="false">H38/X38</f>
        <v>8.13820754716981</v>
      </c>
      <c r="AG38" s="151" t="n">
        <v>1920</v>
      </c>
      <c r="AH38" s="143" t="n">
        <f aca="false">(H38-AG38)*D38</f>
        <v>-7009.2</v>
      </c>
      <c r="AI38" s="143"/>
    </row>
    <row r="39" customFormat="false" ht="16.4" hidden="false" customHeight="false" outlineLevel="0" collapsed="false">
      <c r="A39" s="136"/>
      <c r="B39" s="136"/>
      <c r="C39" s="137"/>
      <c r="D39" s="137"/>
      <c r="E39" s="138"/>
      <c r="F39" s="139"/>
      <c r="G39" s="79"/>
      <c r="H39" s="140"/>
      <c r="I39" s="138"/>
      <c r="J39" s="138"/>
      <c r="K39" s="141"/>
      <c r="L39" s="142"/>
      <c r="M39" s="143"/>
      <c r="N39" s="143"/>
      <c r="O39" s="144"/>
      <c r="P39" s="145"/>
      <c r="Q39" s="146"/>
      <c r="R39" s="144"/>
      <c r="S39" s="146"/>
      <c r="T39" s="145"/>
      <c r="U39" s="145"/>
      <c r="V39" s="145"/>
      <c r="W39" s="145"/>
      <c r="X39" s="144"/>
      <c r="Y39" s="147"/>
      <c r="Z39" s="147"/>
      <c r="AA39" s="147"/>
      <c r="AB39" s="146"/>
      <c r="AC39" s="148"/>
      <c r="AD39" s="149"/>
      <c r="AE39" s="149"/>
      <c r="AF39" s="150"/>
      <c r="AG39" s="151"/>
      <c r="AH39" s="143"/>
      <c r="AI39" s="143"/>
    </row>
    <row r="40" customFormat="false" ht="16.4" hidden="false" customHeight="false" outlineLevel="0" collapsed="false">
      <c r="A40" s="136" t="n">
        <v>5</v>
      </c>
      <c r="B40" s="136" t="s">
        <v>102</v>
      </c>
      <c r="C40" s="137" t="n">
        <v>20</v>
      </c>
      <c r="D40" s="137" t="n">
        <v>1332</v>
      </c>
      <c r="E40" s="138" t="n">
        <f aca="false">C40*D40</f>
        <v>26640</v>
      </c>
      <c r="F40" s="139" t="n">
        <f aca="false">E40/$E$35</f>
        <v>0.0172643967182093</v>
      </c>
      <c r="G40" s="79" t="s">
        <v>103</v>
      </c>
      <c r="H40" s="140" t="n">
        <f aca="false">IFERROR(__xludf.dummyfunction("GOOGLEFINANCE(""543272"")"),11.51)</f>
        <v>11.51</v>
      </c>
      <c r="I40" s="138" t="n">
        <f aca="false">H40*D40</f>
        <v>15331.32</v>
      </c>
      <c r="J40" s="138" t="n">
        <f aca="false">I40-E40</f>
        <v>-11308.68</v>
      </c>
      <c r="K40" s="141" t="n">
        <f aca="false">J40/E40</f>
        <v>-0.4245</v>
      </c>
      <c r="L40" s="142" t="n">
        <f aca="false">IFERROR(__xludf.dummyfunction("GOOGLEFINANCE(""524200"",""marketcap"")/10^7"),16138.14228)</f>
        <v>16138.14228</v>
      </c>
      <c r="M40" s="143" t="n">
        <f aca="false">IFERROR(__xludf.dummyfunction("GOOGLEFINANCE(""524200"",""PE"")"),41.86)</f>
        <v>41.86</v>
      </c>
      <c r="N40" s="143" t="n">
        <f aca="false">IFERROR(__xludf.dummyfunction("GOOGLEFINANCE(""524200"",""EPS"")"),37.26)</f>
        <v>37.26</v>
      </c>
      <c r="O40" s="144" t="n">
        <v>468</v>
      </c>
      <c r="P40" s="145" t="n">
        <v>194</v>
      </c>
      <c r="Q40" s="146" t="n">
        <v>0.42</v>
      </c>
      <c r="R40" s="144" t="n">
        <v>104</v>
      </c>
      <c r="S40" s="146" t="n">
        <v>0.22</v>
      </c>
      <c r="T40" s="145" t="n">
        <v>114</v>
      </c>
      <c r="U40" s="145" t="n">
        <v>161</v>
      </c>
      <c r="V40" s="145" t="n">
        <v>165</v>
      </c>
      <c r="W40" s="145" t="n">
        <v>0</v>
      </c>
      <c r="X40" s="144" t="n">
        <v>2</v>
      </c>
      <c r="Y40" s="147" t="n">
        <v>0.515</v>
      </c>
      <c r="Z40" s="147" t="n">
        <v>0.4698</v>
      </c>
      <c r="AA40" s="147" t="n">
        <v>0.2415</v>
      </c>
      <c r="AB40" s="146" t="n">
        <v>0.5</v>
      </c>
      <c r="AC40" s="148" t="n">
        <f aca="false">L40/O40</f>
        <v>34.48321</v>
      </c>
      <c r="AD40" s="149" t="n">
        <f aca="false">P40/T40</f>
        <v>1.70175438596491</v>
      </c>
      <c r="AE40" s="149" t="n">
        <f aca="false">R40/T40</f>
        <v>0.912280701754386</v>
      </c>
      <c r="AF40" s="150" t="n">
        <f aca="false">H40/X40</f>
        <v>5.755</v>
      </c>
      <c r="AG40" s="151" t="n">
        <v>15.5</v>
      </c>
      <c r="AH40" s="143" t="n">
        <f aca="false">(H40-AG40)*D40</f>
        <v>-5314.68</v>
      </c>
      <c r="AI40" s="143" t="s">
        <v>57</v>
      </c>
    </row>
    <row r="41" customFormat="false" ht="15.75" hidden="false" customHeight="false" outlineLevel="0" collapsed="false">
      <c r="H41" s="133"/>
      <c r="X41" s="135"/>
      <c r="AH41" s="5" t="n">
        <f aca="false">SUM(AH38:AH40)</f>
        <v>-12323.88</v>
      </c>
    </row>
    <row r="42" customFormat="false" ht="12" hidden="false" customHeight="false" outlineLevel="0" collapsed="false">
      <c r="H42" s="133"/>
      <c r="X42" s="135"/>
    </row>
    <row r="43" customFormat="false" ht="12" hidden="false" customHeight="false" outlineLevel="0" collapsed="false">
      <c r="H43" s="133"/>
      <c r="X43" s="135"/>
    </row>
    <row r="44" customFormat="false" ht="12" hidden="false" customHeight="false" outlineLevel="0" collapsed="false">
      <c r="H44" s="133"/>
      <c r="X44" s="135"/>
    </row>
    <row r="45" customFormat="false" ht="12" hidden="false" customHeight="false" outlineLevel="0" collapsed="false">
      <c r="H45" s="133"/>
      <c r="X45" s="135"/>
    </row>
    <row r="46" customFormat="false" ht="12" hidden="false" customHeight="false" outlineLevel="0" collapsed="false">
      <c r="H46" s="133"/>
      <c r="X46" s="135"/>
    </row>
    <row r="47" customFormat="false" ht="12" hidden="false" customHeight="false" outlineLevel="0" collapsed="false">
      <c r="H47" s="133"/>
      <c r="X47" s="135"/>
    </row>
    <row r="48" customFormat="false" ht="12" hidden="false" customHeight="false" outlineLevel="0" collapsed="false">
      <c r="H48" s="133"/>
      <c r="X48" s="135"/>
    </row>
    <row r="49" customFormat="false" ht="12" hidden="false" customHeight="false" outlineLevel="0" collapsed="false">
      <c r="H49" s="133"/>
      <c r="X49" s="135"/>
    </row>
    <row r="50" customFormat="false" ht="12" hidden="false" customHeight="false" outlineLevel="0" collapsed="false">
      <c r="H50" s="133"/>
      <c r="X50" s="135"/>
    </row>
    <row r="51" customFormat="false" ht="12" hidden="false" customHeight="false" outlineLevel="0" collapsed="false">
      <c r="H51" s="133"/>
      <c r="X51" s="135"/>
    </row>
    <row r="52" customFormat="false" ht="12" hidden="false" customHeight="false" outlineLevel="0" collapsed="false">
      <c r="H52" s="133"/>
      <c r="X52" s="135"/>
    </row>
    <row r="53" customFormat="false" ht="12" hidden="false" customHeight="false" outlineLevel="0" collapsed="false">
      <c r="H53" s="133"/>
      <c r="X53" s="135"/>
    </row>
    <row r="54" customFormat="false" ht="12" hidden="false" customHeight="false" outlineLevel="0" collapsed="false">
      <c r="H54" s="133"/>
      <c r="X54" s="135"/>
    </row>
    <row r="55" customFormat="false" ht="12" hidden="false" customHeight="false" outlineLevel="0" collapsed="false">
      <c r="H55" s="133"/>
      <c r="X55" s="135"/>
    </row>
    <row r="56" customFormat="false" ht="12" hidden="false" customHeight="false" outlineLevel="0" collapsed="false">
      <c r="H56" s="133"/>
      <c r="X56" s="135"/>
    </row>
    <row r="57" customFormat="false" ht="12" hidden="false" customHeight="false" outlineLevel="0" collapsed="false">
      <c r="H57" s="133"/>
      <c r="X57" s="135"/>
    </row>
    <row r="58" customFormat="false" ht="12" hidden="false" customHeight="false" outlineLevel="0" collapsed="false">
      <c r="H58" s="133"/>
      <c r="X58" s="135"/>
    </row>
    <row r="59" customFormat="false" ht="12" hidden="false" customHeight="false" outlineLevel="0" collapsed="false">
      <c r="H59" s="133"/>
      <c r="X59" s="135"/>
    </row>
    <row r="60" customFormat="false" ht="12" hidden="false" customHeight="false" outlineLevel="0" collapsed="false">
      <c r="H60" s="133"/>
      <c r="X60" s="135"/>
    </row>
    <row r="61" customFormat="false" ht="12" hidden="false" customHeight="false" outlineLevel="0" collapsed="false">
      <c r="H61" s="133"/>
      <c r="X61" s="135"/>
    </row>
    <row r="62" customFormat="false" ht="12" hidden="false" customHeight="false" outlineLevel="0" collapsed="false">
      <c r="H62" s="133"/>
      <c r="X62" s="135"/>
    </row>
    <row r="63" customFormat="false" ht="12" hidden="false" customHeight="false" outlineLevel="0" collapsed="false">
      <c r="H63" s="133"/>
      <c r="X63" s="135"/>
    </row>
    <row r="64" customFormat="false" ht="12" hidden="false" customHeight="false" outlineLevel="0" collapsed="false">
      <c r="H64" s="133"/>
      <c r="X64" s="135"/>
    </row>
    <row r="65" customFormat="false" ht="12" hidden="false" customHeight="false" outlineLevel="0" collapsed="false">
      <c r="H65" s="133"/>
      <c r="X65" s="135"/>
    </row>
    <row r="66" customFormat="false" ht="12" hidden="false" customHeight="false" outlineLevel="0" collapsed="false">
      <c r="H66" s="133"/>
      <c r="X66" s="135"/>
    </row>
    <row r="67" customFormat="false" ht="12" hidden="false" customHeight="false" outlineLevel="0" collapsed="false">
      <c r="H67" s="133"/>
      <c r="X67" s="135"/>
    </row>
    <row r="68" customFormat="false" ht="12" hidden="false" customHeight="false" outlineLevel="0" collapsed="false">
      <c r="H68" s="133"/>
      <c r="X68" s="135"/>
    </row>
    <row r="69" customFormat="false" ht="12" hidden="false" customHeight="false" outlineLevel="0" collapsed="false">
      <c r="H69" s="133"/>
      <c r="X69" s="135"/>
    </row>
    <row r="70" customFormat="false" ht="12" hidden="false" customHeight="false" outlineLevel="0" collapsed="false">
      <c r="H70" s="133"/>
      <c r="X70" s="135"/>
    </row>
    <row r="71" customFormat="false" ht="12" hidden="false" customHeight="false" outlineLevel="0" collapsed="false">
      <c r="H71" s="133"/>
      <c r="X71" s="135"/>
    </row>
    <row r="72" customFormat="false" ht="12" hidden="false" customHeight="false" outlineLevel="0" collapsed="false">
      <c r="H72" s="133"/>
      <c r="X72" s="135"/>
    </row>
    <row r="73" customFormat="false" ht="12" hidden="false" customHeight="false" outlineLevel="0" collapsed="false">
      <c r="H73" s="133"/>
      <c r="X73" s="135"/>
    </row>
    <row r="74" customFormat="false" ht="12" hidden="false" customHeight="false" outlineLevel="0" collapsed="false">
      <c r="H74" s="133"/>
      <c r="X74" s="135"/>
    </row>
    <row r="75" customFormat="false" ht="12" hidden="false" customHeight="false" outlineLevel="0" collapsed="false">
      <c r="H75" s="133"/>
      <c r="X75" s="135"/>
    </row>
    <row r="76" customFormat="false" ht="12" hidden="false" customHeight="false" outlineLevel="0" collapsed="false">
      <c r="H76" s="133"/>
      <c r="X76" s="135"/>
    </row>
    <row r="77" customFormat="false" ht="12" hidden="false" customHeight="false" outlineLevel="0" collapsed="false">
      <c r="H77" s="133"/>
      <c r="X77" s="135"/>
    </row>
    <row r="78" customFormat="false" ht="12" hidden="false" customHeight="false" outlineLevel="0" collapsed="false">
      <c r="H78" s="133"/>
      <c r="X78" s="135"/>
    </row>
    <row r="79" customFormat="false" ht="12" hidden="false" customHeight="false" outlineLevel="0" collapsed="false">
      <c r="H79" s="133"/>
      <c r="X79" s="135"/>
    </row>
    <row r="80" customFormat="false" ht="12" hidden="false" customHeight="false" outlineLevel="0" collapsed="false">
      <c r="H80" s="133"/>
      <c r="X80" s="135"/>
    </row>
    <row r="81" customFormat="false" ht="12" hidden="false" customHeight="false" outlineLevel="0" collapsed="false">
      <c r="H81" s="133"/>
      <c r="X81" s="135"/>
    </row>
    <row r="82" customFormat="false" ht="12" hidden="false" customHeight="false" outlineLevel="0" collapsed="false">
      <c r="H82" s="133"/>
      <c r="X82" s="135"/>
    </row>
    <row r="83" customFormat="false" ht="12" hidden="false" customHeight="false" outlineLevel="0" collapsed="false">
      <c r="H83" s="133"/>
      <c r="X83" s="135"/>
    </row>
    <row r="84" customFormat="false" ht="12" hidden="false" customHeight="false" outlineLevel="0" collapsed="false">
      <c r="H84" s="133"/>
      <c r="X84" s="135"/>
    </row>
    <row r="85" customFormat="false" ht="12" hidden="false" customHeight="false" outlineLevel="0" collapsed="false">
      <c r="H85" s="133"/>
      <c r="X85" s="135"/>
    </row>
    <row r="86" customFormat="false" ht="12" hidden="false" customHeight="false" outlineLevel="0" collapsed="false">
      <c r="H86" s="133"/>
      <c r="X86" s="135"/>
    </row>
    <row r="87" customFormat="false" ht="12" hidden="false" customHeight="false" outlineLevel="0" collapsed="false">
      <c r="H87" s="133"/>
      <c r="X87" s="135"/>
    </row>
    <row r="88" customFormat="false" ht="12" hidden="false" customHeight="false" outlineLevel="0" collapsed="false">
      <c r="H88" s="133"/>
      <c r="X88" s="135"/>
    </row>
    <row r="89" customFormat="false" ht="12" hidden="false" customHeight="false" outlineLevel="0" collapsed="false">
      <c r="H89" s="133"/>
      <c r="X89" s="135"/>
    </row>
    <row r="90" customFormat="false" ht="12" hidden="false" customHeight="false" outlineLevel="0" collapsed="false">
      <c r="H90" s="133"/>
      <c r="X90" s="135"/>
    </row>
    <row r="91" customFormat="false" ht="12" hidden="false" customHeight="false" outlineLevel="0" collapsed="false">
      <c r="H91" s="133"/>
      <c r="X91" s="135"/>
    </row>
    <row r="92" customFormat="false" ht="12" hidden="false" customHeight="false" outlineLevel="0" collapsed="false">
      <c r="H92" s="133"/>
      <c r="X92" s="135"/>
    </row>
    <row r="93" customFormat="false" ht="12" hidden="false" customHeight="false" outlineLevel="0" collapsed="false">
      <c r="H93" s="133"/>
      <c r="X93" s="135"/>
    </row>
    <row r="94" customFormat="false" ht="12" hidden="false" customHeight="false" outlineLevel="0" collapsed="false">
      <c r="H94" s="133"/>
      <c r="X94" s="135"/>
    </row>
    <row r="95" customFormat="false" ht="12" hidden="false" customHeight="false" outlineLevel="0" collapsed="false">
      <c r="H95" s="133"/>
      <c r="X95" s="135"/>
    </row>
    <row r="96" customFormat="false" ht="12" hidden="false" customHeight="false" outlineLevel="0" collapsed="false">
      <c r="H96" s="133"/>
      <c r="X96" s="135"/>
    </row>
    <row r="97" customFormat="false" ht="12" hidden="false" customHeight="false" outlineLevel="0" collapsed="false">
      <c r="H97" s="133"/>
      <c r="X97" s="135"/>
    </row>
    <row r="98" customFormat="false" ht="12" hidden="false" customHeight="false" outlineLevel="0" collapsed="false">
      <c r="H98" s="133"/>
      <c r="X98" s="135"/>
    </row>
    <row r="99" customFormat="false" ht="12" hidden="false" customHeight="false" outlineLevel="0" collapsed="false">
      <c r="H99" s="133"/>
      <c r="X99" s="135"/>
    </row>
    <row r="100" customFormat="false" ht="12" hidden="false" customHeight="false" outlineLevel="0" collapsed="false">
      <c r="H100" s="133"/>
      <c r="X100" s="135"/>
    </row>
    <row r="101" customFormat="false" ht="12" hidden="false" customHeight="false" outlineLevel="0" collapsed="false">
      <c r="H101" s="133"/>
      <c r="X101" s="135"/>
    </row>
    <row r="102" customFormat="false" ht="12" hidden="false" customHeight="false" outlineLevel="0" collapsed="false">
      <c r="H102" s="133"/>
      <c r="X102" s="135"/>
    </row>
    <row r="103" customFormat="false" ht="12" hidden="false" customHeight="false" outlineLevel="0" collapsed="false">
      <c r="H103" s="133"/>
      <c r="X103" s="135"/>
    </row>
    <row r="104" customFormat="false" ht="12" hidden="false" customHeight="false" outlineLevel="0" collapsed="false">
      <c r="H104" s="133"/>
      <c r="X104" s="135"/>
    </row>
    <row r="105" customFormat="false" ht="12" hidden="false" customHeight="false" outlineLevel="0" collapsed="false">
      <c r="H105" s="133"/>
      <c r="X105" s="135"/>
    </row>
    <row r="106" customFormat="false" ht="12" hidden="false" customHeight="false" outlineLevel="0" collapsed="false">
      <c r="H106" s="133"/>
      <c r="X106" s="135"/>
    </row>
    <row r="107" customFormat="false" ht="12" hidden="false" customHeight="false" outlineLevel="0" collapsed="false">
      <c r="H107" s="133"/>
      <c r="X107" s="135"/>
    </row>
    <row r="108" customFormat="false" ht="12" hidden="false" customHeight="false" outlineLevel="0" collapsed="false">
      <c r="H108" s="133"/>
      <c r="X108" s="135"/>
    </row>
    <row r="109" customFormat="false" ht="12" hidden="false" customHeight="false" outlineLevel="0" collapsed="false">
      <c r="H109" s="133"/>
      <c r="X109" s="135"/>
    </row>
    <row r="110" customFormat="false" ht="12" hidden="false" customHeight="false" outlineLevel="0" collapsed="false">
      <c r="H110" s="133"/>
      <c r="X110" s="135"/>
    </row>
    <row r="111" customFormat="false" ht="12" hidden="false" customHeight="false" outlineLevel="0" collapsed="false">
      <c r="H111" s="133"/>
      <c r="X111" s="135"/>
    </row>
    <row r="112" customFormat="false" ht="12" hidden="false" customHeight="false" outlineLevel="0" collapsed="false">
      <c r="H112" s="133"/>
      <c r="X112" s="135"/>
    </row>
    <row r="113" customFormat="false" ht="12" hidden="false" customHeight="false" outlineLevel="0" collapsed="false">
      <c r="H113" s="133"/>
      <c r="X113" s="135"/>
    </row>
    <row r="114" customFormat="false" ht="12" hidden="false" customHeight="false" outlineLevel="0" collapsed="false">
      <c r="H114" s="133"/>
      <c r="X114" s="135"/>
    </row>
    <row r="115" customFormat="false" ht="12" hidden="false" customHeight="false" outlineLevel="0" collapsed="false">
      <c r="H115" s="133"/>
      <c r="X115" s="135"/>
    </row>
    <row r="116" customFormat="false" ht="12" hidden="false" customHeight="false" outlineLevel="0" collapsed="false">
      <c r="H116" s="133"/>
      <c r="X116" s="135"/>
    </row>
    <row r="117" customFormat="false" ht="12" hidden="false" customHeight="false" outlineLevel="0" collapsed="false">
      <c r="H117" s="133"/>
      <c r="X117" s="135"/>
    </row>
    <row r="118" customFormat="false" ht="12" hidden="false" customHeight="false" outlineLevel="0" collapsed="false">
      <c r="H118" s="133"/>
      <c r="X118" s="135"/>
    </row>
    <row r="119" customFormat="false" ht="12" hidden="false" customHeight="false" outlineLevel="0" collapsed="false">
      <c r="H119" s="133"/>
      <c r="X119" s="135"/>
    </row>
    <row r="120" customFormat="false" ht="12" hidden="false" customHeight="false" outlineLevel="0" collapsed="false">
      <c r="H120" s="133"/>
      <c r="X120" s="135"/>
    </row>
    <row r="121" customFormat="false" ht="12" hidden="false" customHeight="false" outlineLevel="0" collapsed="false">
      <c r="H121" s="133"/>
      <c r="X121" s="135"/>
    </row>
    <row r="122" customFormat="false" ht="12" hidden="false" customHeight="false" outlineLevel="0" collapsed="false">
      <c r="H122" s="133"/>
      <c r="X122" s="135"/>
    </row>
    <row r="123" customFormat="false" ht="12" hidden="false" customHeight="false" outlineLevel="0" collapsed="false">
      <c r="H123" s="133"/>
      <c r="X123" s="135"/>
    </row>
    <row r="124" customFormat="false" ht="12" hidden="false" customHeight="false" outlineLevel="0" collapsed="false">
      <c r="H124" s="133"/>
      <c r="X124" s="135"/>
    </row>
    <row r="125" customFormat="false" ht="12" hidden="false" customHeight="false" outlineLevel="0" collapsed="false">
      <c r="H125" s="133"/>
      <c r="X125" s="135"/>
    </row>
    <row r="126" customFormat="false" ht="12" hidden="false" customHeight="false" outlineLevel="0" collapsed="false">
      <c r="H126" s="133"/>
      <c r="X126" s="135"/>
    </row>
    <row r="127" customFormat="false" ht="12" hidden="false" customHeight="false" outlineLevel="0" collapsed="false">
      <c r="H127" s="133"/>
      <c r="X127" s="135"/>
    </row>
    <row r="128" customFormat="false" ht="12" hidden="false" customHeight="false" outlineLevel="0" collapsed="false">
      <c r="H128" s="133"/>
      <c r="X128" s="135"/>
    </row>
    <row r="129" customFormat="false" ht="12" hidden="false" customHeight="false" outlineLevel="0" collapsed="false">
      <c r="H129" s="133"/>
      <c r="X129" s="135"/>
    </row>
    <row r="130" customFormat="false" ht="12" hidden="false" customHeight="false" outlineLevel="0" collapsed="false">
      <c r="H130" s="133"/>
      <c r="X130" s="135"/>
    </row>
    <row r="131" customFormat="false" ht="12" hidden="false" customHeight="false" outlineLevel="0" collapsed="false">
      <c r="H131" s="133"/>
      <c r="X131" s="135"/>
    </row>
    <row r="132" customFormat="false" ht="12" hidden="false" customHeight="false" outlineLevel="0" collapsed="false">
      <c r="H132" s="133"/>
      <c r="X132" s="135"/>
    </row>
    <row r="133" customFormat="false" ht="12" hidden="false" customHeight="false" outlineLevel="0" collapsed="false">
      <c r="H133" s="133"/>
      <c r="X133" s="135"/>
    </row>
    <row r="134" customFormat="false" ht="12" hidden="false" customHeight="false" outlineLevel="0" collapsed="false">
      <c r="H134" s="133"/>
      <c r="X134" s="135"/>
    </row>
    <row r="135" customFormat="false" ht="12" hidden="false" customHeight="false" outlineLevel="0" collapsed="false">
      <c r="H135" s="133"/>
      <c r="X135" s="135"/>
    </row>
    <row r="136" customFormat="false" ht="12" hidden="false" customHeight="false" outlineLevel="0" collapsed="false">
      <c r="H136" s="133"/>
      <c r="X136" s="135"/>
    </row>
    <row r="137" customFormat="false" ht="12" hidden="false" customHeight="false" outlineLevel="0" collapsed="false">
      <c r="H137" s="133"/>
      <c r="X137" s="135"/>
    </row>
    <row r="138" customFormat="false" ht="12" hidden="false" customHeight="false" outlineLevel="0" collapsed="false">
      <c r="H138" s="133"/>
      <c r="X138" s="135"/>
    </row>
    <row r="139" customFormat="false" ht="12" hidden="false" customHeight="false" outlineLevel="0" collapsed="false">
      <c r="H139" s="133"/>
      <c r="X139" s="135"/>
    </row>
    <row r="140" customFormat="false" ht="12" hidden="false" customHeight="false" outlineLevel="0" collapsed="false">
      <c r="H140" s="133"/>
      <c r="X140" s="135"/>
    </row>
    <row r="141" customFormat="false" ht="12" hidden="false" customHeight="false" outlineLevel="0" collapsed="false">
      <c r="H141" s="133"/>
      <c r="X141" s="135"/>
    </row>
    <row r="142" customFormat="false" ht="12" hidden="false" customHeight="false" outlineLevel="0" collapsed="false">
      <c r="H142" s="133"/>
      <c r="X142" s="135"/>
    </row>
    <row r="143" customFormat="false" ht="12" hidden="false" customHeight="false" outlineLevel="0" collapsed="false">
      <c r="H143" s="133"/>
      <c r="X143" s="135"/>
    </row>
    <row r="144" customFormat="false" ht="12" hidden="false" customHeight="false" outlineLevel="0" collapsed="false">
      <c r="H144" s="133"/>
      <c r="X144" s="135"/>
    </row>
    <row r="145" customFormat="false" ht="12" hidden="false" customHeight="false" outlineLevel="0" collapsed="false">
      <c r="H145" s="133"/>
      <c r="X145" s="135"/>
    </row>
    <row r="146" customFormat="false" ht="12" hidden="false" customHeight="false" outlineLevel="0" collapsed="false">
      <c r="H146" s="133"/>
      <c r="X146" s="135"/>
    </row>
    <row r="147" customFormat="false" ht="12" hidden="false" customHeight="false" outlineLevel="0" collapsed="false">
      <c r="H147" s="133"/>
      <c r="X147" s="135"/>
    </row>
    <row r="148" customFormat="false" ht="12" hidden="false" customHeight="false" outlineLevel="0" collapsed="false">
      <c r="H148" s="133"/>
      <c r="X148" s="135"/>
    </row>
    <row r="149" customFormat="false" ht="12" hidden="false" customHeight="false" outlineLevel="0" collapsed="false">
      <c r="H149" s="133"/>
      <c r="X149" s="135"/>
    </row>
    <row r="150" customFormat="false" ht="12" hidden="false" customHeight="false" outlineLevel="0" collapsed="false">
      <c r="H150" s="133"/>
      <c r="X150" s="135"/>
    </row>
    <row r="151" customFormat="false" ht="12" hidden="false" customHeight="false" outlineLevel="0" collapsed="false">
      <c r="H151" s="133"/>
      <c r="X151" s="135"/>
    </row>
    <row r="152" customFormat="false" ht="12" hidden="false" customHeight="false" outlineLevel="0" collapsed="false">
      <c r="H152" s="133"/>
      <c r="X152" s="135"/>
    </row>
    <row r="153" customFormat="false" ht="12" hidden="false" customHeight="false" outlineLevel="0" collapsed="false">
      <c r="H153" s="133"/>
      <c r="X153" s="135"/>
    </row>
    <row r="154" customFormat="false" ht="12" hidden="false" customHeight="false" outlineLevel="0" collapsed="false">
      <c r="H154" s="133"/>
      <c r="X154" s="135"/>
    </row>
    <row r="155" customFormat="false" ht="12" hidden="false" customHeight="false" outlineLevel="0" collapsed="false">
      <c r="H155" s="133"/>
      <c r="X155" s="135"/>
    </row>
    <row r="156" customFormat="false" ht="12" hidden="false" customHeight="false" outlineLevel="0" collapsed="false">
      <c r="H156" s="133"/>
      <c r="X156" s="135"/>
    </row>
    <row r="157" customFormat="false" ht="12" hidden="false" customHeight="false" outlineLevel="0" collapsed="false">
      <c r="H157" s="133"/>
      <c r="X157" s="135"/>
    </row>
    <row r="158" customFormat="false" ht="12" hidden="false" customHeight="false" outlineLevel="0" collapsed="false">
      <c r="H158" s="133"/>
      <c r="X158" s="135"/>
    </row>
    <row r="159" customFormat="false" ht="12" hidden="false" customHeight="false" outlineLevel="0" collapsed="false">
      <c r="H159" s="133"/>
      <c r="X159" s="135"/>
    </row>
    <row r="160" customFormat="false" ht="12" hidden="false" customHeight="false" outlineLevel="0" collapsed="false">
      <c r="H160" s="133"/>
      <c r="X160" s="135"/>
    </row>
    <row r="161" customFormat="false" ht="12" hidden="false" customHeight="false" outlineLevel="0" collapsed="false">
      <c r="H161" s="133"/>
      <c r="X161" s="135"/>
    </row>
    <row r="162" customFormat="false" ht="12" hidden="false" customHeight="false" outlineLevel="0" collapsed="false">
      <c r="H162" s="133"/>
      <c r="X162" s="135"/>
    </row>
    <row r="163" customFormat="false" ht="12" hidden="false" customHeight="false" outlineLevel="0" collapsed="false">
      <c r="H163" s="133"/>
      <c r="X163" s="135"/>
    </row>
    <row r="164" customFormat="false" ht="12" hidden="false" customHeight="false" outlineLevel="0" collapsed="false">
      <c r="H164" s="133"/>
      <c r="X164" s="135"/>
    </row>
    <row r="165" customFormat="false" ht="12" hidden="false" customHeight="false" outlineLevel="0" collapsed="false">
      <c r="H165" s="133"/>
      <c r="X165" s="135"/>
    </row>
    <row r="166" customFormat="false" ht="12" hidden="false" customHeight="false" outlineLevel="0" collapsed="false">
      <c r="H166" s="133"/>
      <c r="X166" s="135"/>
    </row>
    <row r="167" customFormat="false" ht="12" hidden="false" customHeight="false" outlineLevel="0" collapsed="false">
      <c r="H167" s="133"/>
      <c r="X167" s="135"/>
    </row>
    <row r="168" customFormat="false" ht="12" hidden="false" customHeight="false" outlineLevel="0" collapsed="false">
      <c r="H168" s="133"/>
      <c r="X168" s="135"/>
    </row>
    <row r="169" customFormat="false" ht="12" hidden="false" customHeight="false" outlineLevel="0" collapsed="false">
      <c r="H169" s="133"/>
      <c r="X169" s="135"/>
    </row>
    <row r="170" customFormat="false" ht="12" hidden="false" customHeight="false" outlineLevel="0" collapsed="false">
      <c r="H170" s="133"/>
      <c r="X170" s="135"/>
    </row>
    <row r="171" customFormat="false" ht="12" hidden="false" customHeight="false" outlineLevel="0" collapsed="false">
      <c r="H171" s="133"/>
      <c r="X171" s="135"/>
    </row>
    <row r="172" customFormat="false" ht="12" hidden="false" customHeight="false" outlineLevel="0" collapsed="false">
      <c r="H172" s="133"/>
      <c r="X172" s="135"/>
    </row>
    <row r="173" customFormat="false" ht="12" hidden="false" customHeight="false" outlineLevel="0" collapsed="false">
      <c r="H173" s="133"/>
      <c r="X173" s="135"/>
    </row>
    <row r="174" customFormat="false" ht="12" hidden="false" customHeight="false" outlineLevel="0" collapsed="false">
      <c r="H174" s="133"/>
      <c r="X174" s="135"/>
    </row>
    <row r="175" customFormat="false" ht="12" hidden="false" customHeight="false" outlineLevel="0" collapsed="false">
      <c r="H175" s="133"/>
      <c r="X175" s="135"/>
    </row>
    <row r="176" customFormat="false" ht="12" hidden="false" customHeight="false" outlineLevel="0" collapsed="false">
      <c r="H176" s="133"/>
      <c r="X176" s="135"/>
    </row>
    <row r="177" customFormat="false" ht="12" hidden="false" customHeight="false" outlineLevel="0" collapsed="false">
      <c r="H177" s="133"/>
      <c r="X177" s="135"/>
    </row>
    <row r="178" customFormat="false" ht="12" hidden="false" customHeight="false" outlineLevel="0" collapsed="false">
      <c r="H178" s="133"/>
      <c r="X178" s="135"/>
    </row>
    <row r="179" customFormat="false" ht="12" hidden="false" customHeight="false" outlineLevel="0" collapsed="false">
      <c r="H179" s="133"/>
      <c r="X179" s="135"/>
    </row>
    <row r="180" customFormat="false" ht="12" hidden="false" customHeight="false" outlineLevel="0" collapsed="false">
      <c r="H180" s="133"/>
      <c r="X180" s="135"/>
    </row>
    <row r="181" customFormat="false" ht="12" hidden="false" customHeight="false" outlineLevel="0" collapsed="false">
      <c r="H181" s="133"/>
      <c r="X181" s="135"/>
    </row>
    <row r="182" customFormat="false" ht="12" hidden="false" customHeight="false" outlineLevel="0" collapsed="false">
      <c r="H182" s="133"/>
      <c r="X182" s="135"/>
    </row>
    <row r="183" customFormat="false" ht="12" hidden="false" customHeight="false" outlineLevel="0" collapsed="false">
      <c r="H183" s="133"/>
      <c r="X183" s="135"/>
    </row>
    <row r="184" customFormat="false" ht="12" hidden="false" customHeight="false" outlineLevel="0" collapsed="false">
      <c r="H184" s="133"/>
      <c r="X184" s="135"/>
    </row>
    <row r="185" customFormat="false" ht="12" hidden="false" customHeight="false" outlineLevel="0" collapsed="false">
      <c r="H185" s="133"/>
      <c r="X185" s="135"/>
    </row>
    <row r="186" customFormat="false" ht="12" hidden="false" customHeight="false" outlineLevel="0" collapsed="false">
      <c r="H186" s="133"/>
      <c r="X186" s="135"/>
    </row>
    <row r="187" customFormat="false" ht="12" hidden="false" customHeight="false" outlineLevel="0" collapsed="false">
      <c r="H187" s="133"/>
      <c r="X187" s="135"/>
    </row>
    <row r="188" customFormat="false" ht="12" hidden="false" customHeight="false" outlineLevel="0" collapsed="false">
      <c r="H188" s="133"/>
      <c r="X188" s="135"/>
    </row>
    <row r="189" customFormat="false" ht="12" hidden="false" customHeight="false" outlineLevel="0" collapsed="false">
      <c r="H189" s="133"/>
      <c r="X189" s="135"/>
    </row>
    <row r="190" customFormat="false" ht="12" hidden="false" customHeight="false" outlineLevel="0" collapsed="false">
      <c r="H190" s="133"/>
      <c r="X190" s="135"/>
    </row>
    <row r="191" customFormat="false" ht="12" hidden="false" customHeight="false" outlineLevel="0" collapsed="false">
      <c r="H191" s="133"/>
      <c r="X191" s="135"/>
    </row>
    <row r="192" customFormat="false" ht="12" hidden="false" customHeight="false" outlineLevel="0" collapsed="false">
      <c r="H192" s="133"/>
      <c r="X192" s="135"/>
    </row>
    <row r="193" customFormat="false" ht="12" hidden="false" customHeight="false" outlineLevel="0" collapsed="false">
      <c r="H193" s="133"/>
      <c r="X193" s="135"/>
    </row>
    <row r="194" customFormat="false" ht="12" hidden="false" customHeight="false" outlineLevel="0" collapsed="false">
      <c r="H194" s="133"/>
      <c r="X194" s="135"/>
    </row>
    <row r="195" customFormat="false" ht="12" hidden="false" customHeight="false" outlineLevel="0" collapsed="false">
      <c r="H195" s="133"/>
      <c r="X195" s="135"/>
    </row>
    <row r="196" customFormat="false" ht="12" hidden="false" customHeight="false" outlineLevel="0" collapsed="false">
      <c r="H196" s="133"/>
      <c r="X196" s="135"/>
    </row>
    <row r="197" customFormat="false" ht="12" hidden="false" customHeight="false" outlineLevel="0" collapsed="false">
      <c r="H197" s="133"/>
      <c r="X197" s="135"/>
    </row>
    <row r="198" customFormat="false" ht="12" hidden="false" customHeight="false" outlineLevel="0" collapsed="false">
      <c r="H198" s="133"/>
      <c r="X198" s="135"/>
    </row>
    <row r="199" customFormat="false" ht="12" hidden="false" customHeight="false" outlineLevel="0" collapsed="false">
      <c r="H199" s="133"/>
      <c r="X199" s="135"/>
    </row>
    <row r="200" customFormat="false" ht="12" hidden="false" customHeight="false" outlineLevel="0" collapsed="false">
      <c r="H200" s="133"/>
      <c r="X200" s="135"/>
    </row>
    <row r="201" customFormat="false" ht="12" hidden="false" customHeight="false" outlineLevel="0" collapsed="false">
      <c r="H201" s="133"/>
      <c r="X201" s="135"/>
    </row>
    <row r="202" customFormat="false" ht="12" hidden="false" customHeight="false" outlineLevel="0" collapsed="false">
      <c r="H202" s="133"/>
      <c r="X202" s="135"/>
    </row>
    <row r="203" customFormat="false" ht="12" hidden="false" customHeight="false" outlineLevel="0" collapsed="false">
      <c r="H203" s="133"/>
      <c r="X203" s="135"/>
    </row>
    <row r="204" customFormat="false" ht="12" hidden="false" customHeight="false" outlineLevel="0" collapsed="false">
      <c r="H204" s="133"/>
      <c r="X204" s="135"/>
    </row>
    <row r="205" customFormat="false" ht="12" hidden="false" customHeight="false" outlineLevel="0" collapsed="false">
      <c r="H205" s="133"/>
      <c r="X205" s="135"/>
    </row>
    <row r="206" customFormat="false" ht="12" hidden="false" customHeight="false" outlineLevel="0" collapsed="false">
      <c r="H206" s="133"/>
      <c r="X206" s="135"/>
    </row>
    <row r="207" customFormat="false" ht="12" hidden="false" customHeight="false" outlineLevel="0" collapsed="false">
      <c r="H207" s="133"/>
      <c r="X207" s="135"/>
    </row>
    <row r="208" customFormat="false" ht="12" hidden="false" customHeight="false" outlineLevel="0" collapsed="false">
      <c r="H208" s="133"/>
      <c r="X208" s="135"/>
    </row>
    <row r="209" customFormat="false" ht="12" hidden="false" customHeight="false" outlineLevel="0" collapsed="false">
      <c r="H209" s="133"/>
      <c r="X209" s="135"/>
    </row>
    <row r="210" customFormat="false" ht="12" hidden="false" customHeight="false" outlineLevel="0" collapsed="false">
      <c r="H210" s="133"/>
      <c r="X210" s="135"/>
    </row>
    <row r="211" customFormat="false" ht="12" hidden="false" customHeight="false" outlineLevel="0" collapsed="false">
      <c r="H211" s="133"/>
      <c r="X211" s="135"/>
    </row>
    <row r="212" customFormat="false" ht="12" hidden="false" customHeight="false" outlineLevel="0" collapsed="false">
      <c r="H212" s="133"/>
      <c r="X212" s="135"/>
    </row>
    <row r="213" customFormat="false" ht="12" hidden="false" customHeight="false" outlineLevel="0" collapsed="false">
      <c r="H213" s="133"/>
      <c r="X213" s="135"/>
    </row>
    <row r="214" customFormat="false" ht="12" hidden="false" customHeight="false" outlineLevel="0" collapsed="false">
      <c r="H214" s="133"/>
      <c r="X214" s="135"/>
    </row>
    <row r="215" customFormat="false" ht="12" hidden="false" customHeight="false" outlineLevel="0" collapsed="false">
      <c r="H215" s="133"/>
      <c r="X215" s="135"/>
    </row>
    <row r="216" customFormat="false" ht="12" hidden="false" customHeight="false" outlineLevel="0" collapsed="false">
      <c r="H216" s="133"/>
      <c r="X216" s="135"/>
    </row>
    <row r="217" customFormat="false" ht="12" hidden="false" customHeight="false" outlineLevel="0" collapsed="false">
      <c r="H217" s="133"/>
      <c r="X217" s="135"/>
    </row>
    <row r="218" customFormat="false" ht="12" hidden="false" customHeight="false" outlineLevel="0" collapsed="false">
      <c r="H218" s="133"/>
      <c r="X218" s="135"/>
    </row>
    <row r="219" customFormat="false" ht="12" hidden="false" customHeight="false" outlineLevel="0" collapsed="false">
      <c r="H219" s="133"/>
      <c r="X219" s="135"/>
    </row>
    <row r="220" customFormat="false" ht="12" hidden="false" customHeight="false" outlineLevel="0" collapsed="false">
      <c r="H220" s="133"/>
      <c r="X220" s="135"/>
    </row>
    <row r="221" customFormat="false" ht="12" hidden="false" customHeight="false" outlineLevel="0" collapsed="false">
      <c r="H221" s="133"/>
      <c r="X221" s="135"/>
    </row>
    <row r="222" customFormat="false" ht="12" hidden="false" customHeight="false" outlineLevel="0" collapsed="false">
      <c r="H222" s="133"/>
      <c r="X222" s="135"/>
    </row>
    <row r="223" customFormat="false" ht="12" hidden="false" customHeight="false" outlineLevel="0" collapsed="false">
      <c r="H223" s="133"/>
      <c r="X223" s="135"/>
    </row>
    <row r="224" customFormat="false" ht="12" hidden="false" customHeight="false" outlineLevel="0" collapsed="false">
      <c r="H224" s="133"/>
      <c r="X224" s="135"/>
    </row>
    <row r="225" customFormat="false" ht="12" hidden="false" customHeight="false" outlineLevel="0" collapsed="false">
      <c r="H225" s="133"/>
      <c r="X225" s="135"/>
    </row>
    <row r="226" customFormat="false" ht="12" hidden="false" customHeight="false" outlineLevel="0" collapsed="false">
      <c r="H226" s="133"/>
      <c r="X226" s="135"/>
    </row>
    <row r="227" customFormat="false" ht="12" hidden="false" customHeight="false" outlineLevel="0" collapsed="false">
      <c r="H227" s="133"/>
      <c r="X227" s="135"/>
    </row>
    <row r="228" customFormat="false" ht="12" hidden="false" customHeight="false" outlineLevel="0" collapsed="false">
      <c r="H228" s="133"/>
      <c r="X228" s="135"/>
    </row>
    <row r="229" customFormat="false" ht="12" hidden="false" customHeight="false" outlineLevel="0" collapsed="false">
      <c r="H229" s="133"/>
      <c r="X229" s="135"/>
    </row>
    <row r="230" customFormat="false" ht="12" hidden="false" customHeight="false" outlineLevel="0" collapsed="false">
      <c r="H230" s="133"/>
      <c r="X230" s="135"/>
    </row>
    <row r="231" customFormat="false" ht="12" hidden="false" customHeight="false" outlineLevel="0" collapsed="false">
      <c r="H231" s="133"/>
      <c r="X231" s="135"/>
    </row>
    <row r="232" customFormat="false" ht="12" hidden="false" customHeight="false" outlineLevel="0" collapsed="false">
      <c r="H232" s="133"/>
      <c r="X232" s="135"/>
    </row>
    <row r="233" customFormat="false" ht="12" hidden="false" customHeight="false" outlineLevel="0" collapsed="false">
      <c r="H233" s="133"/>
      <c r="X233" s="135"/>
    </row>
    <row r="234" customFormat="false" ht="12" hidden="false" customHeight="false" outlineLevel="0" collapsed="false">
      <c r="H234" s="133"/>
      <c r="X234" s="135"/>
    </row>
    <row r="235" customFormat="false" ht="12" hidden="false" customHeight="false" outlineLevel="0" collapsed="false">
      <c r="H235" s="133"/>
      <c r="X235" s="135"/>
    </row>
    <row r="236" customFormat="false" ht="12" hidden="false" customHeight="false" outlineLevel="0" collapsed="false">
      <c r="H236" s="133"/>
      <c r="X236" s="135"/>
    </row>
    <row r="237" customFormat="false" ht="12" hidden="false" customHeight="false" outlineLevel="0" collapsed="false">
      <c r="H237" s="133"/>
      <c r="X237" s="135"/>
    </row>
    <row r="238" customFormat="false" ht="12" hidden="false" customHeight="false" outlineLevel="0" collapsed="false">
      <c r="H238" s="133"/>
      <c r="X238" s="135"/>
    </row>
    <row r="239" customFormat="false" ht="12" hidden="false" customHeight="false" outlineLevel="0" collapsed="false">
      <c r="H239" s="133"/>
      <c r="X239" s="135"/>
    </row>
    <row r="240" customFormat="false" ht="12" hidden="false" customHeight="false" outlineLevel="0" collapsed="false">
      <c r="H240" s="133"/>
      <c r="X240" s="135"/>
    </row>
    <row r="241" customFormat="false" ht="12" hidden="false" customHeight="false" outlineLevel="0" collapsed="false">
      <c r="H241" s="133"/>
      <c r="X241" s="135"/>
    </row>
    <row r="242" customFormat="false" ht="12" hidden="false" customHeight="false" outlineLevel="0" collapsed="false">
      <c r="H242" s="133"/>
      <c r="X242" s="135"/>
    </row>
    <row r="243" customFormat="false" ht="12" hidden="false" customHeight="false" outlineLevel="0" collapsed="false">
      <c r="H243" s="133"/>
      <c r="X243" s="135"/>
    </row>
    <row r="244" customFormat="false" ht="12" hidden="false" customHeight="false" outlineLevel="0" collapsed="false">
      <c r="H244" s="133"/>
      <c r="X244" s="135"/>
    </row>
    <row r="245" customFormat="false" ht="12" hidden="false" customHeight="false" outlineLevel="0" collapsed="false">
      <c r="H245" s="133"/>
      <c r="X245" s="135"/>
    </row>
    <row r="246" customFormat="false" ht="12" hidden="false" customHeight="false" outlineLevel="0" collapsed="false">
      <c r="H246" s="133"/>
      <c r="X246" s="135"/>
    </row>
    <row r="247" customFormat="false" ht="12" hidden="false" customHeight="false" outlineLevel="0" collapsed="false">
      <c r="H247" s="133"/>
      <c r="X247" s="135"/>
    </row>
    <row r="248" customFormat="false" ht="12" hidden="false" customHeight="false" outlineLevel="0" collapsed="false">
      <c r="H248" s="133"/>
      <c r="X248" s="135"/>
    </row>
    <row r="249" customFormat="false" ht="12" hidden="false" customHeight="false" outlineLevel="0" collapsed="false">
      <c r="H249" s="133"/>
      <c r="X249" s="135"/>
    </row>
    <row r="250" customFormat="false" ht="12" hidden="false" customHeight="false" outlineLevel="0" collapsed="false">
      <c r="H250" s="133"/>
      <c r="X250" s="135"/>
    </row>
    <row r="251" customFormat="false" ht="12" hidden="false" customHeight="false" outlineLevel="0" collapsed="false">
      <c r="H251" s="133"/>
      <c r="X251" s="135"/>
    </row>
    <row r="252" customFormat="false" ht="12" hidden="false" customHeight="false" outlineLevel="0" collapsed="false">
      <c r="H252" s="133"/>
      <c r="X252" s="135"/>
    </row>
    <row r="253" customFormat="false" ht="12" hidden="false" customHeight="false" outlineLevel="0" collapsed="false">
      <c r="H253" s="133"/>
      <c r="X253" s="135"/>
    </row>
    <row r="254" customFormat="false" ht="12" hidden="false" customHeight="false" outlineLevel="0" collapsed="false">
      <c r="H254" s="133"/>
      <c r="X254" s="135"/>
    </row>
    <row r="255" customFormat="false" ht="12" hidden="false" customHeight="false" outlineLevel="0" collapsed="false">
      <c r="H255" s="133"/>
      <c r="X255" s="135"/>
    </row>
    <row r="256" customFormat="false" ht="12" hidden="false" customHeight="false" outlineLevel="0" collapsed="false">
      <c r="H256" s="133"/>
      <c r="X256" s="135"/>
    </row>
    <row r="257" customFormat="false" ht="12" hidden="false" customHeight="false" outlineLevel="0" collapsed="false">
      <c r="H257" s="133"/>
      <c r="X257" s="135"/>
    </row>
    <row r="258" customFormat="false" ht="12" hidden="false" customHeight="false" outlineLevel="0" collapsed="false">
      <c r="H258" s="133"/>
      <c r="X258" s="135"/>
    </row>
    <row r="259" customFormat="false" ht="12" hidden="false" customHeight="false" outlineLevel="0" collapsed="false">
      <c r="H259" s="133"/>
      <c r="X259" s="135"/>
    </row>
    <row r="260" customFormat="false" ht="12" hidden="false" customHeight="false" outlineLevel="0" collapsed="false">
      <c r="H260" s="133"/>
      <c r="X260" s="135"/>
    </row>
    <row r="261" customFormat="false" ht="12" hidden="false" customHeight="false" outlineLevel="0" collapsed="false">
      <c r="H261" s="133"/>
      <c r="X261" s="135"/>
    </row>
    <row r="262" customFormat="false" ht="12" hidden="false" customHeight="false" outlineLevel="0" collapsed="false">
      <c r="H262" s="133"/>
      <c r="X262" s="135"/>
    </row>
    <row r="263" customFormat="false" ht="12" hidden="false" customHeight="false" outlineLevel="0" collapsed="false">
      <c r="H263" s="133"/>
      <c r="X263" s="135"/>
    </row>
    <row r="264" customFormat="false" ht="12" hidden="false" customHeight="false" outlineLevel="0" collapsed="false">
      <c r="H264" s="133"/>
      <c r="X264" s="135"/>
    </row>
    <row r="265" customFormat="false" ht="12" hidden="false" customHeight="false" outlineLevel="0" collapsed="false">
      <c r="H265" s="133"/>
      <c r="X265" s="135"/>
    </row>
    <row r="266" customFormat="false" ht="12" hidden="false" customHeight="false" outlineLevel="0" collapsed="false">
      <c r="H266" s="133"/>
      <c r="X266" s="135"/>
    </row>
    <row r="267" customFormat="false" ht="12" hidden="false" customHeight="false" outlineLevel="0" collapsed="false">
      <c r="H267" s="133"/>
      <c r="X267" s="135"/>
    </row>
    <row r="268" customFormat="false" ht="12" hidden="false" customHeight="false" outlineLevel="0" collapsed="false">
      <c r="H268" s="133"/>
      <c r="X268" s="135"/>
    </row>
    <row r="269" customFormat="false" ht="12" hidden="false" customHeight="false" outlineLevel="0" collapsed="false">
      <c r="H269" s="133"/>
      <c r="X269" s="135"/>
    </row>
    <row r="270" customFormat="false" ht="12" hidden="false" customHeight="false" outlineLevel="0" collapsed="false">
      <c r="H270" s="133"/>
      <c r="X270" s="135"/>
    </row>
    <row r="271" customFormat="false" ht="12" hidden="false" customHeight="false" outlineLevel="0" collapsed="false">
      <c r="H271" s="133"/>
      <c r="X271" s="135"/>
    </row>
    <row r="272" customFormat="false" ht="12" hidden="false" customHeight="false" outlineLevel="0" collapsed="false">
      <c r="H272" s="133"/>
      <c r="X272" s="135"/>
    </row>
    <row r="273" customFormat="false" ht="12" hidden="false" customHeight="false" outlineLevel="0" collapsed="false">
      <c r="H273" s="133"/>
      <c r="X273" s="135"/>
    </row>
    <row r="274" customFormat="false" ht="12" hidden="false" customHeight="false" outlineLevel="0" collapsed="false">
      <c r="H274" s="133"/>
      <c r="X274" s="135"/>
    </row>
    <row r="275" customFormat="false" ht="12" hidden="false" customHeight="false" outlineLevel="0" collapsed="false">
      <c r="H275" s="133"/>
      <c r="X275" s="135"/>
    </row>
    <row r="276" customFormat="false" ht="12" hidden="false" customHeight="false" outlineLevel="0" collapsed="false">
      <c r="H276" s="133"/>
      <c r="X276" s="135"/>
    </row>
    <row r="277" customFormat="false" ht="12" hidden="false" customHeight="false" outlineLevel="0" collapsed="false">
      <c r="H277" s="133"/>
      <c r="X277" s="135"/>
    </row>
    <row r="278" customFormat="false" ht="12" hidden="false" customHeight="false" outlineLevel="0" collapsed="false">
      <c r="H278" s="133"/>
      <c r="X278" s="135"/>
    </row>
    <row r="279" customFormat="false" ht="12" hidden="false" customHeight="false" outlineLevel="0" collapsed="false">
      <c r="H279" s="133"/>
      <c r="X279" s="135"/>
    </row>
    <row r="280" customFormat="false" ht="12" hidden="false" customHeight="false" outlineLevel="0" collapsed="false">
      <c r="H280" s="133"/>
      <c r="X280" s="135"/>
    </row>
    <row r="281" customFormat="false" ht="12" hidden="false" customHeight="false" outlineLevel="0" collapsed="false">
      <c r="H281" s="133"/>
      <c r="X281" s="135"/>
    </row>
    <row r="282" customFormat="false" ht="12" hidden="false" customHeight="false" outlineLevel="0" collapsed="false">
      <c r="H282" s="133"/>
      <c r="X282" s="135"/>
    </row>
    <row r="283" customFormat="false" ht="12" hidden="false" customHeight="false" outlineLevel="0" collapsed="false">
      <c r="H283" s="133"/>
      <c r="X283" s="135"/>
    </row>
    <row r="284" customFormat="false" ht="12" hidden="false" customHeight="false" outlineLevel="0" collapsed="false">
      <c r="H284" s="133"/>
      <c r="X284" s="135"/>
    </row>
    <row r="285" customFormat="false" ht="12" hidden="false" customHeight="false" outlineLevel="0" collapsed="false">
      <c r="H285" s="133"/>
      <c r="X285" s="135"/>
    </row>
    <row r="286" customFormat="false" ht="12" hidden="false" customHeight="false" outlineLevel="0" collapsed="false">
      <c r="H286" s="133"/>
      <c r="X286" s="135"/>
    </row>
    <row r="287" customFormat="false" ht="12" hidden="false" customHeight="false" outlineLevel="0" collapsed="false">
      <c r="H287" s="133"/>
      <c r="X287" s="135"/>
    </row>
    <row r="288" customFormat="false" ht="12" hidden="false" customHeight="false" outlineLevel="0" collapsed="false">
      <c r="H288" s="133"/>
      <c r="X288" s="135"/>
    </row>
    <row r="289" customFormat="false" ht="12" hidden="false" customHeight="false" outlineLevel="0" collapsed="false">
      <c r="H289" s="133"/>
      <c r="X289" s="135"/>
    </row>
    <row r="290" customFormat="false" ht="12" hidden="false" customHeight="false" outlineLevel="0" collapsed="false">
      <c r="H290" s="133"/>
      <c r="X290" s="135"/>
    </row>
    <row r="291" customFormat="false" ht="12" hidden="false" customHeight="false" outlineLevel="0" collapsed="false">
      <c r="H291" s="133"/>
      <c r="X291" s="135"/>
    </row>
    <row r="292" customFormat="false" ht="12" hidden="false" customHeight="false" outlineLevel="0" collapsed="false">
      <c r="H292" s="133"/>
      <c r="X292" s="135"/>
    </row>
    <row r="293" customFormat="false" ht="12" hidden="false" customHeight="false" outlineLevel="0" collapsed="false">
      <c r="H293" s="133"/>
      <c r="X293" s="135"/>
    </row>
    <row r="294" customFormat="false" ht="12" hidden="false" customHeight="false" outlineLevel="0" collapsed="false">
      <c r="H294" s="133"/>
      <c r="X294" s="135"/>
    </row>
    <row r="295" customFormat="false" ht="12" hidden="false" customHeight="false" outlineLevel="0" collapsed="false">
      <c r="H295" s="133"/>
      <c r="X295" s="135"/>
    </row>
    <row r="296" customFormat="false" ht="12" hidden="false" customHeight="false" outlineLevel="0" collapsed="false">
      <c r="H296" s="133"/>
      <c r="X296" s="135"/>
    </row>
    <row r="297" customFormat="false" ht="12" hidden="false" customHeight="false" outlineLevel="0" collapsed="false">
      <c r="H297" s="133"/>
      <c r="X297" s="135"/>
    </row>
    <row r="298" customFormat="false" ht="12" hidden="false" customHeight="false" outlineLevel="0" collapsed="false">
      <c r="H298" s="133"/>
      <c r="X298" s="135"/>
    </row>
    <row r="299" customFormat="false" ht="12" hidden="false" customHeight="false" outlineLevel="0" collapsed="false">
      <c r="H299" s="133"/>
      <c r="X299" s="135"/>
    </row>
    <row r="300" customFormat="false" ht="12" hidden="false" customHeight="false" outlineLevel="0" collapsed="false">
      <c r="H300" s="133"/>
      <c r="X300" s="135"/>
    </row>
    <row r="301" customFormat="false" ht="12" hidden="false" customHeight="false" outlineLevel="0" collapsed="false">
      <c r="H301" s="133"/>
      <c r="X301" s="135"/>
    </row>
    <row r="302" customFormat="false" ht="12" hidden="false" customHeight="false" outlineLevel="0" collapsed="false">
      <c r="H302" s="133"/>
      <c r="X302" s="135"/>
    </row>
    <row r="303" customFormat="false" ht="12" hidden="false" customHeight="false" outlineLevel="0" collapsed="false">
      <c r="H303" s="133"/>
      <c r="X303" s="135"/>
    </row>
    <row r="304" customFormat="false" ht="12" hidden="false" customHeight="false" outlineLevel="0" collapsed="false">
      <c r="H304" s="133"/>
      <c r="X304" s="135"/>
    </row>
    <row r="305" customFormat="false" ht="12" hidden="false" customHeight="false" outlineLevel="0" collapsed="false">
      <c r="H305" s="133"/>
      <c r="X305" s="135"/>
    </row>
    <row r="306" customFormat="false" ht="12" hidden="false" customHeight="false" outlineLevel="0" collapsed="false">
      <c r="H306" s="133"/>
      <c r="X306" s="135"/>
    </row>
    <row r="307" customFormat="false" ht="12" hidden="false" customHeight="false" outlineLevel="0" collapsed="false">
      <c r="H307" s="133"/>
      <c r="X307" s="135"/>
    </row>
    <row r="308" customFormat="false" ht="12" hidden="false" customHeight="false" outlineLevel="0" collapsed="false">
      <c r="H308" s="133"/>
      <c r="X308" s="135"/>
    </row>
    <row r="309" customFormat="false" ht="12" hidden="false" customHeight="false" outlineLevel="0" collapsed="false">
      <c r="H309" s="133"/>
      <c r="X309" s="135"/>
    </row>
    <row r="310" customFormat="false" ht="12" hidden="false" customHeight="false" outlineLevel="0" collapsed="false">
      <c r="H310" s="133"/>
      <c r="X310" s="135"/>
    </row>
    <row r="311" customFormat="false" ht="12" hidden="false" customHeight="false" outlineLevel="0" collapsed="false">
      <c r="H311" s="133"/>
      <c r="X311" s="135"/>
    </row>
    <row r="312" customFormat="false" ht="12" hidden="false" customHeight="false" outlineLevel="0" collapsed="false">
      <c r="H312" s="133"/>
      <c r="X312" s="135"/>
    </row>
    <row r="313" customFormat="false" ht="12" hidden="false" customHeight="false" outlineLevel="0" collapsed="false">
      <c r="H313" s="133"/>
      <c r="X313" s="135"/>
    </row>
    <row r="314" customFormat="false" ht="12" hidden="false" customHeight="false" outlineLevel="0" collapsed="false">
      <c r="H314" s="133"/>
      <c r="X314" s="135"/>
    </row>
    <row r="315" customFormat="false" ht="12" hidden="false" customHeight="false" outlineLevel="0" collapsed="false">
      <c r="H315" s="133"/>
      <c r="X315" s="135"/>
    </row>
    <row r="316" customFormat="false" ht="12" hidden="false" customHeight="false" outlineLevel="0" collapsed="false">
      <c r="H316" s="133"/>
      <c r="X316" s="135"/>
    </row>
    <row r="317" customFormat="false" ht="12" hidden="false" customHeight="false" outlineLevel="0" collapsed="false">
      <c r="H317" s="133"/>
      <c r="X317" s="135"/>
    </row>
    <row r="318" customFormat="false" ht="12" hidden="false" customHeight="false" outlineLevel="0" collapsed="false">
      <c r="H318" s="133"/>
      <c r="X318" s="135"/>
    </row>
    <row r="319" customFormat="false" ht="12" hidden="false" customHeight="false" outlineLevel="0" collapsed="false">
      <c r="H319" s="133"/>
      <c r="X319" s="135"/>
    </row>
    <row r="320" customFormat="false" ht="12" hidden="false" customHeight="false" outlineLevel="0" collapsed="false">
      <c r="H320" s="133"/>
      <c r="X320" s="135"/>
    </row>
    <row r="321" customFormat="false" ht="12" hidden="false" customHeight="false" outlineLevel="0" collapsed="false">
      <c r="H321" s="133"/>
      <c r="X321" s="135"/>
    </row>
    <row r="322" customFormat="false" ht="12" hidden="false" customHeight="false" outlineLevel="0" collapsed="false">
      <c r="H322" s="133"/>
      <c r="X322" s="135"/>
    </row>
    <row r="323" customFormat="false" ht="12" hidden="false" customHeight="false" outlineLevel="0" collapsed="false">
      <c r="H323" s="133"/>
      <c r="X323" s="135"/>
    </row>
    <row r="324" customFormat="false" ht="12" hidden="false" customHeight="false" outlineLevel="0" collapsed="false">
      <c r="H324" s="133"/>
      <c r="X324" s="135"/>
    </row>
    <row r="325" customFormat="false" ht="12" hidden="false" customHeight="false" outlineLevel="0" collapsed="false">
      <c r="H325" s="133"/>
      <c r="X325" s="135"/>
    </row>
    <row r="326" customFormat="false" ht="12" hidden="false" customHeight="false" outlineLevel="0" collapsed="false">
      <c r="H326" s="133"/>
      <c r="X326" s="135"/>
    </row>
    <row r="327" customFormat="false" ht="12" hidden="false" customHeight="false" outlineLevel="0" collapsed="false">
      <c r="H327" s="133"/>
      <c r="X327" s="135"/>
    </row>
    <row r="328" customFormat="false" ht="12" hidden="false" customHeight="false" outlineLevel="0" collapsed="false">
      <c r="H328" s="133"/>
      <c r="X328" s="135"/>
    </row>
    <row r="329" customFormat="false" ht="12" hidden="false" customHeight="false" outlineLevel="0" collapsed="false">
      <c r="H329" s="133"/>
      <c r="X329" s="135"/>
    </row>
    <row r="330" customFormat="false" ht="12" hidden="false" customHeight="false" outlineLevel="0" collapsed="false">
      <c r="H330" s="133"/>
      <c r="X330" s="135"/>
    </row>
    <row r="331" customFormat="false" ht="12" hidden="false" customHeight="false" outlineLevel="0" collapsed="false">
      <c r="H331" s="133"/>
      <c r="X331" s="135"/>
    </row>
    <row r="332" customFormat="false" ht="12" hidden="false" customHeight="false" outlineLevel="0" collapsed="false">
      <c r="H332" s="133"/>
      <c r="X332" s="135"/>
    </row>
    <row r="333" customFormat="false" ht="12" hidden="false" customHeight="false" outlineLevel="0" collapsed="false">
      <c r="H333" s="133"/>
      <c r="X333" s="135"/>
    </row>
    <row r="334" customFormat="false" ht="12" hidden="false" customHeight="false" outlineLevel="0" collapsed="false">
      <c r="H334" s="133"/>
      <c r="X334" s="135"/>
    </row>
    <row r="335" customFormat="false" ht="12" hidden="false" customHeight="false" outlineLevel="0" collapsed="false">
      <c r="H335" s="133"/>
      <c r="X335" s="135"/>
    </row>
    <row r="336" customFormat="false" ht="12" hidden="false" customHeight="false" outlineLevel="0" collapsed="false">
      <c r="H336" s="133"/>
      <c r="X336" s="135"/>
    </row>
    <row r="337" customFormat="false" ht="12" hidden="false" customHeight="false" outlineLevel="0" collapsed="false">
      <c r="H337" s="133"/>
      <c r="X337" s="135"/>
    </row>
    <row r="338" customFormat="false" ht="12" hidden="false" customHeight="false" outlineLevel="0" collapsed="false">
      <c r="H338" s="133"/>
      <c r="X338" s="135"/>
    </row>
    <row r="339" customFormat="false" ht="12" hidden="false" customHeight="false" outlineLevel="0" collapsed="false">
      <c r="H339" s="133"/>
      <c r="X339" s="135"/>
    </row>
    <row r="340" customFormat="false" ht="12" hidden="false" customHeight="false" outlineLevel="0" collapsed="false">
      <c r="H340" s="133"/>
      <c r="X340" s="135"/>
    </row>
    <row r="341" customFormat="false" ht="12" hidden="false" customHeight="false" outlineLevel="0" collapsed="false">
      <c r="H341" s="133"/>
      <c r="X341" s="135"/>
    </row>
    <row r="342" customFormat="false" ht="12" hidden="false" customHeight="false" outlineLevel="0" collapsed="false">
      <c r="H342" s="133"/>
      <c r="X342" s="135"/>
    </row>
    <row r="343" customFormat="false" ht="12" hidden="false" customHeight="false" outlineLevel="0" collapsed="false">
      <c r="H343" s="133"/>
      <c r="X343" s="135"/>
    </row>
    <row r="344" customFormat="false" ht="12" hidden="false" customHeight="false" outlineLevel="0" collapsed="false">
      <c r="H344" s="133"/>
      <c r="X344" s="135"/>
    </row>
    <row r="345" customFormat="false" ht="12" hidden="false" customHeight="false" outlineLevel="0" collapsed="false">
      <c r="H345" s="133"/>
      <c r="X345" s="135"/>
    </row>
    <row r="346" customFormat="false" ht="12" hidden="false" customHeight="false" outlineLevel="0" collapsed="false">
      <c r="H346" s="133"/>
      <c r="X346" s="135"/>
    </row>
    <row r="347" customFormat="false" ht="12" hidden="false" customHeight="false" outlineLevel="0" collapsed="false">
      <c r="H347" s="133"/>
      <c r="X347" s="135"/>
    </row>
    <row r="348" customFormat="false" ht="12" hidden="false" customHeight="false" outlineLevel="0" collapsed="false">
      <c r="H348" s="133"/>
      <c r="X348" s="135"/>
    </row>
    <row r="349" customFormat="false" ht="12" hidden="false" customHeight="false" outlineLevel="0" collapsed="false">
      <c r="H349" s="133"/>
      <c r="X349" s="135"/>
    </row>
    <row r="350" customFormat="false" ht="12" hidden="false" customHeight="false" outlineLevel="0" collapsed="false">
      <c r="H350" s="133"/>
      <c r="X350" s="135"/>
    </row>
    <row r="351" customFormat="false" ht="12" hidden="false" customHeight="false" outlineLevel="0" collapsed="false">
      <c r="H351" s="133"/>
      <c r="X351" s="135"/>
    </row>
    <row r="352" customFormat="false" ht="12" hidden="false" customHeight="false" outlineLevel="0" collapsed="false">
      <c r="H352" s="133"/>
      <c r="X352" s="135"/>
    </row>
    <row r="353" customFormat="false" ht="12" hidden="false" customHeight="false" outlineLevel="0" collapsed="false">
      <c r="H353" s="133"/>
      <c r="X353" s="135"/>
    </row>
    <row r="354" customFormat="false" ht="12" hidden="false" customHeight="false" outlineLevel="0" collapsed="false">
      <c r="H354" s="133"/>
      <c r="X354" s="135"/>
    </row>
    <row r="355" customFormat="false" ht="12" hidden="false" customHeight="false" outlineLevel="0" collapsed="false">
      <c r="H355" s="133"/>
      <c r="X355" s="135"/>
    </row>
    <row r="356" customFormat="false" ht="12" hidden="false" customHeight="false" outlineLevel="0" collapsed="false">
      <c r="H356" s="133"/>
      <c r="X356" s="135"/>
    </row>
    <row r="357" customFormat="false" ht="12" hidden="false" customHeight="false" outlineLevel="0" collapsed="false">
      <c r="H357" s="133"/>
      <c r="X357" s="135"/>
    </row>
    <row r="358" customFormat="false" ht="12" hidden="false" customHeight="false" outlineLevel="0" collapsed="false">
      <c r="H358" s="133"/>
      <c r="X358" s="135"/>
    </row>
    <row r="359" customFormat="false" ht="12" hidden="false" customHeight="false" outlineLevel="0" collapsed="false">
      <c r="H359" s="133"/>
      <c r="X359" s="135"/>
    </row>
    <row r="360" customFormat="false" ht="12" hidden="false" customHeight="false" outlineLevel="0" collapsed="false">
      <c r="H360" s="133"/>
      <c r="X360" s="135"/>
    </row>
    <row r="361" customFormat="false" ht="12" hidden="false" customHeight="false" outlineLevel="0" collapsed="false">
      <c r="H361" s="133"/>
      <c r="X361" s="135"/>
    </row>
    <row r="362" customFormat="false" ht="12" hidden="false" customHeight="false" outlineLevel="0" collapsed="false">
      <c r="H362" s="133"/>
      <c r="X362" s="135"/>
    </row>
    <row r="363" customFormat="false" ht="12" hidden="false" customHeight="false" outlineLevel="0" collapsed="false">
      <c r="H363" s="133"/>
      <c r="X363" s="135"/>
    </row>
    <row r="364" customFormat="false" ht="12" hidden="false" customHeight="false" outlineLevel="0" collapsed="false">
      <c r="H364" s="133"/>
      <c r="X364" s="135"/>
    </row>
    <row r="365" customFormat="false" ht="12" hidden="false" customHeight="false" outlineLevel="0" collapsed="false">
      <c r="H365" s="133"/>
      <c r="X365" s="135"/>
    </row>
    <row r="366" customFormat="false" ht="12" hidden="false" customHeight="false" outlineLevel="0" collapsed="false">
      <c r="H366" s="133"/>
      <c r="X366" s="135"/>
    </row>
    <row r="367" customFormat="false" ht="12" hidden="false" customHeight="false" outlineLevel="0" collapsed="false">
      <c r="H367" s="133"/>
      <c r="X367" s="135"/>
    </row>
    <row r="368" customFormat="false" ht="12" hidden="false" customHeight="false" outlineLevel="0" collapsed="false">
      <c r="H368" s="133"/>
      <c r="X368" s="135"/>
    </row>
    <row r="369" customFormat="false" ht="12" hidden="false" customHeight="false" outlineLevel="0" collapsed="false">
      <c r="H369" s="133"/>
      <c r="X369" s="135"/>
    </row>
    <row r="370" customFormat="false" ht="12" hidden="false" customHeight="false" outlineLevel="0" collapsed="false">
      <c r="H370" s="133"/>
      <c r="X370" s="135"/>
    </row>
    <row r="371" customFormat="false" ht="12" hidden="false" customHeight="false" outlineLevel="0" collapsed="false">
      <c r="H371" s="133"/>
      <c r="X371" s="135"/>
    </row>
    <row r="372" customFormat="false" ht="12" hidden="false" customHeight="false" outlineLevel="0" collapsed="false">
      <c r="H372" s="133"/>
      <c r="X372" s="135"/>
    </row>
    <row r="373" customFormat="false" ht="12" hidden="false" customHeight="false" outlineLevel="0" collapsed="false">
      <c r="H373" s="133"/>
      <c r="X373" s="135"/>
    </row>
    <row r="374" customFormat="false" ht="12" hidden="false" customHeight="false" outlineLevel="0" collapsed="false">
      <c r="H374" s="133"/>
      <c r="X374" s="135"/>
    </row>
    <row r="375" customFormat="false" ht="12" hidden="false" customHeight="false" outlineLevel="0" collapsed="false">
      <c r="H375" s="133"/>
      <c r="X375" s="135"/>
    </row>
    <row r="376" customFormat="false" ht="12" hidden="false" customHeight="false" outlineLevel="0" collapsed="false">
      <c r="H376" s="133"/>
      <c r="X376" s="135"/>
    </row>
    <row r="377" customFormat="false" ht="12" hidden="false" customHeight="false" outlineLevel="0" collapsed="false">
      <c r="H377" s="133"/>
      <c r="X377" s="135"/>
    </row>
    <row r="378" customFormat="false" ht="12" hidden="false" customHeight="false" outlineLevel="0" collapsed="false">
      <c r="H378" s="133"/>
      <c r="X378" s="135"/>
    </row>
    <row r="379" customFormat="false" ht="12" hidden="false" customHeight="false" outlineLevel="0" collapsed="false">
      <c r="H379" s="133"/>
      <c r="X379" s="135"/>
    </row>
    <row r="380" customFormat="false" ht="12" hidden="false" customHeight="false" outlineLevel="0" collapsed="false">
      <c r="H380" s="133"/>
      <c r="X380" s="135"/>
    </row>
    <row r="381" customFormat="false" ht="12" hidden="false" customHeight="false" outlineLevel="0" collapsed="false">
      <c r="H381" s="133"/>
      <c r="X381" s="135"/>
    </row>
    <row r="382" customFormat="false" ht="12" hidden="false" customHeight="false" outlineLevel="0" collapsed="false">
      <c r="H382" s="133"/>
      <c r="X382" s="135"/>
    </row>
    <row r="383" customFormat="false" ht="12" hidden="false" customHeight="false" outlineLevel="0" collapsed="false">
      <c r="H383" s="133"/>
      <c r="X383" s="135"/>
    </row>
    <row r="384" customFormat="false" ht="12" hidden="false" customHeight="false" outlineLevel="0" collapsed="false">
      <c r="H384" s="133"/>
      <c r="X384" s="135"/>
    </row>
    <row r="385" customFormat="false" ht="12" hidden="false" customHeight="false" outlineLevel="0" collapsed="false">
      <c r="H385" s="133"/>
      <c r="X385" s="135"/>
    </row>
    <row r="386" customFormat="false" ht="12" hidden="false" customHeight="false" outlineLevel="0" collapsed="false">
      <c r="H386" s="133"/>
      <c r="X386" s="135"/>
    </row>
    <row r="387" customFormat="false" ht="12" hidden="false" customHeight="false" outlineLevel="0" collapsed="false">
      <c r="H387" s="133"/>
      <c r="X387" s="135"/>
    </row>
    <row r="388" customFormat="false" ht="12" hidden="false" customHeight="false" outlineLevel="0" collapsed="false">
      <c r="H388" s="133"/>
      <c r="X388" s="135"/>
    </row>
    <row r="389" customFormat="false" ht="12" hidden="false" customHeight="false" outlineLevel="0" collapsed="false">
      <c r="H389" s="133"/>
      <c r="X389" s="135"/>
    </row>
    <row r="390" customFormat="false" ht="12" hidden="false" customHeight="false" outlineLevel="0" collapsed="false">
      <c r="H390" s="133"/>
      <c r="X390" s="135"/>
    </row>
    <row r="391" customFormat="false" ht="12" hidden="false" customHeight="false" outlineLevel="0" collapsed="false">
      <c r="H391" s="133"/>
      <c r="X391" s="135"/>
    </row>
    <row r="392" customFormat="false" ht="12" hidden="false" customHeight="false" outlineLevel="0" collapsed="false">
      <c r="H392" s="133"/>
      <c r="X392" s="135"/>
    </row>
    <row r="393" customFormat="false" ht="12" hidden="false" customHeight="false" outlineLevel="0" collapsed="false">
      <c r="H393" s="133"/>
      <c r="X393" s="135"/>
    </row>
    <row r="394" customFormat="false" ht="12" hidden="false" customHeight="false" outlineLevel="0" collapsed="false">
      <c r="H394" s="133"/>
      <c r="X394" s="135"/>
    </row>
    <row r="395" customFormat="false" ht="12" hidden="false" customHeight="false" outlineLevel="0" collapsed="false">
      <c r="H395" s="133"/>
      <c r="X395" s="135"/>
    </row>
    <row r="396" customFormat="false" ht="12" hidden="false" customHeight="false" outlineLevel="0" collapsed="false">
      <c r="H396" s="133"/>
      <c r="X396" s="135"/>
    </row>
    <row r="397" customFormat="false" ht="12" hidden="false" customHeight="false" outlineLevel="0" collapsed="false">
      <c r="H397" s="133"/>
      <c r="X397" s="135"/>
    </row>
    <row r="398" customFormat="false" ht="12" hidden="false" customHeight="false" outlineLevel="0" collapsed="false">
      <c r="H398" s="133"/>
      <c r="X398" s="135"/>
    </row>
    <row r="399" customFormat="false" ht="12" hidden="false" customHeight="false" outlineLevel="0" collapsed="false">
      <c r="H399" s="133"/>
      <c r="X399" s="135"/>
    </row>
    <row r="400" customFormat="false" ht="12" hidden="false" customHeight="false" outlineLevel="0" collapsed="false">
      <c r="H400" s="133"/>
      <c r="X400" s="135"/>
    </row>
    <row r="401" customFormat="false" ht="12" hidden="false" customHeight="false" outlineLevel="0" collapsed="false">
      <c r="H401" s="133"/>
      <c r="X401" s="135"/>
    </row>
    <row r="402" customFormat="false" ht="12" hidden="false" customHeight="false" outlineLevel="0" collapsed="false">
      <c r="H402" s="133"/>
      <c r="X402" s="135"/>
    </row>
    <row r="403" customFormat="false" ht="12" hidden="false" customHeight="false" outlineLevel="0" collapsed="false">
      <c r="H403" s="133"/>
      <c r="X403" s="135"/>
    </row>
    <row r="404" customFormat="false" ht="12" hidden="false" customHeight="false" outlineLevel="0" collapsed="false">
      <c r="H404" s="133"/>
      <c r="X404" s="135"/>
    </row>
    <row r="405" customFormat="false" ht="12" hidden="false" customHeight="false" outlineLevel="0" collapsed="false">
      <c r="H405" s="133"/>
      <c r="X405" s="135"/>
    </row>
    <row r="406" customFormat="false" ht="12" hidden="false" customHeight="false" outlineLevel="0" collapsed="false">
      <c r="H406" s="133"/>
      <c r="X406" s="135"/>
    </row>
    <row r="407" customFormat="false" ht="12" hidden="false" customHeight="false" outlineLevel="0" collapsed="false">
      <c r="H407" s="133"/>
      <c r="X407" s="135"/>
    </row>
    <row r="408" customFormat="false" ht="12" hidden="false" customHeight="false" outlineLevel="0" collapsed="false">
      <c r="H408" s="133"/>
      <c r="X408" s="135"/>
    </row>
    <row r="409" customFormat="false" ht="12" hidden="false" customHeight="false" outlineLevel="0" collapsed="false">
      <c r="H409" s="133"/>
      <c r="X409" s="135"/>
    </row>
    <row r="410" customFormat="false" ht="12" hidden="false" customHeight="false" outlineLevel="0" collapsed="false">
      <c r="H410" s="133"/>
      <c r="X410" s="135"/>
    </row>
    <row r="411" customFormat="false" ht="12" hidden="false" customHeight="false" outlineLevel="0" collapsed="false">
      <c r="H411" s="133"/>
      <c r="X411" s="135"/>
    </row>
    <row r="412" customFormat="false" ht="12" hidden="false" customHeight="false" outlineLevel="0" collapsed="false">
      <c r="H412" s="133"/>
      <c r="X412" s="135"/>
    </row>
    <row r="413" customFormat="false" ht="12" hidden="false" customHeight="false" outlineLevel="0" collapsed="false">
      <c r="H413" s="133"/>
      <c r="X413" s="135"/>
    </row>
    <row r="414" customFormat="false" ht="12" hidden="false" customHeight="false" outlineLevel="0" collapsed="false">
      <c r="H414" s="133"/>
      <c r="X414" s="135"/>
    </row>
    <row r="415" customFormat="false" ht="12" hidden="false" customHeight="false" outlineLevel="0" collapsed="false">
      <c r="H415" s="133"/>
      <c r="X415" s="135"/>
    </row>
    <row r="416" customFormat="false" ht="12" hidden="false" customHeight="false" outlineLevel="0" collapsed="false">
      <c r="H416" s="133"/>
      <c r="X416" s="135"/>
    </row>
    <row r="417" customFormat="false" ht="12" hidden="false" customHeight="false" outlineLevel="0" collapsed="false">
      <c r="H417" s="133"/>
      <c r="X417" s="135"/>
    </row>
    <row r="418" customFormat="false" ht="12" hidden="false" customHeight="false" outlineLevel="0" collapsed="false">
      <c r="H418" s="133"/>
      <c r="X418" s="135"/>
    </row>
    <row r="419" customFormat="false" ht="12" hidden="false" customHeight="false" outlineLevel="0" collapsed="false">
      <c r="H419" s="133"/>
      <c r="X419" s="135"/>
    </row>
    <row r="420" customFormat="false" ht="12" hidden="false" customHeight="false" outlineLevel="0" collapsed="false">
      <c r="H420" s="133"/>
      <c r="X420" s="135"/>
    </row>
    <row r="421" customFormat="false" ht="12" hidden="false" customHeight="false" outlineLevel="0" collapsed="false">
      <c r="H421" s="133"/>
      <c r="X421" s="135"/>
    </row>
    <row r="422" customFormat="false" ht="12" hidden="false" customHeight="false" outlineLevel="0" collapsed="false">
      <c r="H422" s="133"/>
      <c r="X422" s="135"/>
    </row>
    <row r="423" customFormat="false" ht="12" hidden="false" customHeight="false" outlineLevel="0" collapsed="false">
      <c r="H423" s="133"/>
      <c r="X423" s="135"/>
    </row>
    <row r="424" customFormat="false" ht="12" hidden="false" customHeight="false" outlineLevel="0" collapsed="false">
      <c r="H424" s="133"/>
      <c r="X424" s="135"/>
    </row>
    <row r="425" customFormat="false" ht="12" hidden="false" customHeight="false" outlineLevel="0" collapsed="false">
      <c r="H425" s="133"/>
      <c r="X425" s="135"/>
    </row>
    <row r="426" customFormat="false" ht="12" hidden="false" customHeight="false" outlineLevel="0" collapsed="false">
      <c r="H426" s="133"/>
      <c r="X426" s="135"/>
    </row>
    <row r="427" customFormat="false" ht="12" hidden="false" customHeight="false" outlineLevel="0" collapsed="false">
      <c r="H427" s="133"/>
      <c r="X427" s="135"/>
    </row>
    <row r="428" customFormat="false" ht="12" hidden="false" customHeight="false" outlineLevel="0" collapsed="false">
      <c r="H428" s="133"/>
      <c r="X428" s="135"/>
    </row>
    <row r="429" customFormat="false" ht="12" hidden="false" customHeight="false" outlineLevel="0" collapsed="false">
      <c r="H429" s="133"/>
      <c r="X429" s="135"/>
    </row>
    <row r="430" customFormat="false" ht="12" hidden="false" customHeight="false" outlineLevel="0" collapsed="false">
      <c r="H430" s="133"/>
      <c r="X430" s="135"/>
    </row>
    <row r="431" customFormat="false" ht="12" hidden="false" customHeight="false" outlineLevel="0" collapsed="false">
      <c r="H431" s="133"/>
      <c r="X431" s="135"/>
    </row>
    <row r="432" customFormat="false" ht="12" hidden="false" customHeight="false" outlineLevel="0" collapsed="false">
      <c r="H432" s="133"/>
      <c r="X432" s="135"/>
    </row>
    <row r="433" customFormat="false" ht="12" hidden="false" customHeight="false" outlineLevel="0" collapsed="false">
      <c r="H433" s="133"/>
      <c r="X433" s="135"/>
    </row>
    <row r="434" customFormat="false" ht="12" hidden="false" customHeight="false" outlineLevel="0" collapsed="false">
      <c r="H434" s="133"/>
      <c r="X434" s="135"/>
    </row>
    <row r="435" customFormat="false" ht="12" hidden="false" customHeight="false" outlineLevel="0" collapsed="false">
      <c r="H435" s="133"/>
      <c r="X435" s="135"/>
    </row>
    <row r="436" customFormat="false" ht="12" hidden="false" customHeight="false" outlineLevel="0" collapsed="false">
      <c r="H436" s="133"/>
      <c r="X436" s="135"/>
    </row>
    <row r="437" customFormat="false" ht="12" hidden="false" customHeight="false" outlineLevel="0" collapsed="false">
      <c r="H437" s="133"/>
      <c r="X437" s="135"/>
    </row>
    <row r="438" customFormat="false" ht="12" hidden="false" customHeight="false" outlineLevel="0" collapsed="false">
      <c r="H438" s="133"/>
      <c r="X438" s="135"/>
    </row>
    <row r="439" customFormat="false" ht="12" hidden="false" customHeight="false" outlineLevel="0" collapsed="false">
      <c r="H439" s="133"/>
      <c r="X439" s="135"/>
    </row>
    <row r="440" customFormat="false" ht="12" hidden="false" customHeight="false" outlineLevel="0" collapsed="false">
      <c r="H440" s="133"/>
      <c r="X440" s="135"/>
    </row>
    <row r="441" customFormat="false" ht="12" hidden="false" customHeight="false" outlineLevel="0" collapsed="false">
      <c r="H441" s="133"/>
      <c r="X441" s="135"/>
    </row>
    <row r="442" customFormat="false" ht="12" hidden="false" customHeight="false" outlineLevel="0" collapsed="false">
      <c r="H442" s="133"/>
      <c r="X442" s="135"/>
    </row>
    <row r="443" customFormat="false" ht="12" hidden="false" customHeight="false" outlineLevel="0" collapsed="false">
      <c r="H443" s="133"/>
      <c r="X443" s="135"/>
    </row>
    <row r="444" customFormat="false" ht="12" hidden="false" customHeight="false" outlineLevel="0" collapsed="false">
      <c r="H444" s="133"/>
      <c r="X444" s="135"/>
    </row>
    <row r="445" customFormat="false" ht="12" hidden="false" customHeight="false" outlineLevel="0" collapsed="false">
      <c r="H445" s="133"/>
      <c r="X445" s="135"/>
    </row>
    <row r="446" customFormat="false" ht="12" hidden="false" customHeight="false" outlineLevel="0" collapsed="false">
      <c r="H446" s="133"/>
      <c r="X446" s="135"/>
    </row>
    <row r="447" customFormat="false" ht="12" hidden="false" customHeight="false" outlineLevel="0" collapsed="false">
      <c r="H447" s="133"/>
      <c r="X447" s="135"/>
    </row>
    <row r="448" customFormat="false" ht="12" hidden="false" customHeight="false" outlineLevel="0" collapsed="false">
      <c r="H448" s="133"/>
      <c r="X448" s="135"/>
    </row>
    <row r="449" customFormat="false" ht="12" hidden="false" customHeight="false" outlineLevel="0" collapsed="false">
      <c r="H449" s="133"/>
      <c r="X449" s="135"/>
    </row>
    <row r="450" customFormat="false" ht="12" hidden="false" customHeight="false" outlineLevel="0" collapsed="false">
      <c r="H450" s="133"/>
      <c r="X450" s="135"/>
    </row>
    <row r="451" customFormat="false" ht="12" hidden="false" customHeight="false" outlineLevel="0" collapsed="false">
      <c r="H451" s="133"/>
      <c r="X451" s="135"/>
    </row>
    <row r="452" customFormat="false" ht="12" hidden="false" customHeight="false" outlineLevel="0" collapsed="false">
      <c r="H452" s="133"/>
      <c r="X452" s="135"/>
    </row>
    <row r="453" customFormat="false" ht="12" hidden="false" customHeight="false" outlineLevel="0" collapsed="false">
      <c r="H453" s="133"/>
      <c r="X453" s="135"/>
    </row>
    <row r="454" customFormat="false" ht="12" hidden="false" customHeight="false" outlineLevel="0" collapsed="false">
      <c r="H454" s="133"/>
      <c r="X454" s="135"/>
    </row>
    <row r="455" customFormat="false" ht="12" hidden="false" customHeight="false" outlineLevel="0" collapsed="false">
      <c r="H455" s="133"/>
      <c r="X455" s="135"/>
    </row>
    <row r="456" customFormat="false" ht="12" hidden="false" customHeight="false" outlineLevel="0" collapsed="false">
      <c r="H456" s="133"/>
      <c r="X456" s="135"/>
    </row>
    <row r="457" customFormat="false" ht="12" hidden="false" customHeight="false" outlineLevel="0" collapsed="false">
      <c r="H457" s="133"/>
      <c r="X457" s="135"/>
    </row>
    <row r="458" customFormat="false" ht="12" hidden="false" customHeight="false" outlineLevel="0" collapsed="false">
      <c r="H458" s="133"/>
      <c r="X458" s="135"/>
    </row>
    <row r="459" customFormat="false" ht="12" hidden="false" customHeight="false" outlineLevel="0" collapsed="false">
      <c r="H459" s="133"/>
      <c r="X459" s="135"/>
    </row>
    <row r="460" customFormat="false" ht="12" hidden="false" customHeight="false" outlineLevel="0" collapsed="false">
      <c r="H460" s="133"/>
      <c r="X460" s="135"/>
    </row>
    <row r="461" customFormat="false" ht="12" hidden="false" customHeight="false" outlineLevel="0" collapsed="false">
      <c r="H461" s="133"/>
      <c r="X461" s="135"/>
    </row>
    <row r="462" customFormat="false" ht="12" hidden="false" customHeight="false" outlineLevel="0" collapsed="false">
      <c r="H462" s="133"/>
      <c r="X462" s="135"/>
    </row>
    <row r="463" customFormat="false" ht="12" hidden="false" customHeight="false" outlineLevel="0" collapsed="false">
      <c r="H463" s="133"/>
      <c r="X463" s="135"/>
    </row>
    <row r="464" customFormat="false" ht="12" hidden="false" customHeight="false" outlineLevel="0" collapsed="false">
      <c r="H464" s="133"/>
      <c r="X464" s="135"/>
    </row>
    <row r="465" customFormat="false" ht="12" hidden="false" customHeight="false" outlineLevel="0" collapsed="false">
      <c r="H465" s="133"/>
      <c r="X465" s="135"/>
    </row>
    <row r="466" customFormat="false" ht="12" hidden="false" customHeight="false" outlineLevel="0" collapsed="false">
      <c r="H466" s="133"/>
      <c r="X466" s="135"/>
    </row>
    <row r="467" customFormat="false" ht="12" hidden="false" customHeight="false" outlineLevel="0" collapsed="false">
      <c r="H467" s="133"/>
      <c r="X467" s="135"/>
    </row>
    <row r="468" customFormat="false" ht="12" hidden="false" customHeight="false" outlineLevel="0" collapsed="false">
      <c r="H468" s="133"/>
      <c r="X468" s="135"/>
    </row>
    <row r="469" customFormat="false" ht="12" hidden="false" customHeight="false" outlineLevel="0" collapsed="false">
      <c r="H469" s="133"/>
      <c r="X469" s="135"/>
    </row>
    <row r="470" customFormat="false" ht="12" hidden="false" customHeight="false" outlineLevel="0" collapsed="false">
      <c r="H470" s="133"/>
      <c r="X470" s="135"/>
    </row>
    <row r="471" customFormat="false" ht="12" hidden="false" customHeight="false" outlineLevel="0" collapsed="false">
      <c r="H471" s="133"/>
      <c r="X471" s="135"/>
    </row>
    <row r="472" customFormat="false" ht="12" hidden="false" customHeight="false" outlineLevel="0" collapsed="false">
      <c r="H472" s="133"/>
      <c r="X472" s="135"/>
    </row>
    <row r="473" customFormat="false" ht="12" hidden="false" customHeight="false" outlineLevel="0" collapsed="false">
      <c r="H473" s="133"/>
      <c r="X473" s="135"/>
    </row>
    <row r="474" customFormat="false" ht="12" hidden="false" customHeight="false" outlineLevel="0" collapsed="false">
      <c r="H474" s="133"/>
      <c r="X474" s="135"/>
    </row>
    <row r="475" customFormat="false" ht="12" hidden="false" customHeight="false" outlineLevel="0" collapsed="false">
      <c r="H475" s="133"/>
      <c r="X475" s="135"/>
    </row>
    <row r="476" customFormat="false" ht="12" hidden="false" customHeight="false" outlineLevel="0" collapsed="false">
      <c r="H476" s="133"/>
      <c r="X476" s="135"/>
    </row>
    <row r="477" customFormat="false" ht="12" hidden="false" customHeight="false" outlineLevel="0" collapsed="false">
      <c r="H477" s="133"/>
      <c r="X477" s="135"/>
    </row>
    <row r="478" customFormat="false" ht="12" hidden="false" customHeight="false" outlineLevel="0" collapsed="false">
      <c r="H478" s="133"/>
      <c r="X478" s="135"/>
    </row>
    <row r="479" customFormat="false" ht="12" hidden="false" customHeight="false" outlineLevel="0" collapsed="false">
      <c r="H479" s="133"/>
      <c r="X479" s="135"/>
    </row>
    <row r="480" customFormat="false" ht="12" hidden="false" customHeight="false" outlineLevel="0" collapsed="false">
      <c r="H480" s="133"/>
      <c r="X480" s="135"/>
    </row>
    <row r="481" customFormat="false" ht="12" hidden="false" customHeight="false" outlineLevel="0" collapsed="false">
      <c r="H481" s="133"/>
      <c r="X481" s="135"/>
    </row>
    <row r="482" customFormat="false" ht="12" hidden="false" customHeight="false" outlineLevel="0" collapsed="false">
      <c r="H482" s="133"/>
      <c r="X482" s="135"/>
    </row>
    <row r="483" customFormat="false" ht="12" hidden="false" customHeight="false" outlineLevel="0" collapsed="false">
      <c r="H483" s="133"/>
      <c r="X483" s="135"/>
    </row>
    <row r="484" customFormat="false" ht="12" hidden="false" customHeight="false" outlineLevel="0" collapsed="false">
      <c r="H484" s="133"/>
      <c r="X484" s="135"/>
    </row>
    <row r="485" customFormat="false" ht="12" hidden="false" customHeight="false" outlineLevel="0" collapsed="false">
      <c r="H485" s="133"/>
      <c r="X485" s="135"/>
    </row>
    <row r="486" customFormat="false" ht="12" hidden="false" customHeight="false" outlineLevel="0" collapsed="false">
      <c r="H486" s="133"/>
      <c r="X486" s="135"/>
    </row>
    <row r="487" customFormat="false" ht="12" hidden="false" customHeight="false" outlineLevel="0" collapsed="false">
      <c r="H487" s="133"/>
      <c r="X487" s="135"/>
    </row>
    <row r="488" customFormat="false" ht="12" hidden="false" customHeight="false" outlineLevel="0" collapsed="false">
      <c r="H488" s="133"/>
      <c r="X488" s="135"/>
    </row>
    <row r="489" customFormat="false" ht="12" hidden="false" customHeight="false" outlineLevel="0" collapsed="false">
      <c r="H489" s="133"/>
      <c r="X489" s="135"/>
    </row>
    <row r="490" customFormat="false" ht="12" hidden="false" customHeight="false" outlineLevel="0" collapsed="false">
      <c r="H490" s="133"/>
      <c r="X490" s="135"/>
    </row>
    <row r="491" customFormat="false" ht="12" hidden="false" customHeight="false" outlineLevel="0" collapsed="false">
      <c r="H491" s="133"/>
      <c r="X491" s="135"/>
    </row>
    <row r="492" customFormat="false" ht="12" hidden="false" customHeight="false" outlineLevel="0" collapsed="false">
      <c r="H492" s="133"/>
      <c r="X492" s="135"/>
    </row>
    <row r="493" customFormat="false" ht="12" hidden="false" customHeight="false" outlineLevel="0" collapsed="false">
      <c r="H493" s="133"/>
      <c r="X493" s="135"/>
    </row>
    <row r="494" customFormat="false" ht="12" hidden="false" customHeight="false" outlineLevel="0" collapsed="false">
      <c r="H494" s="133"/>
      <c r="X494" s="135"/>
    </row>
    <row r="495" customFormat="false" ht="12" hidden="false" customHeight="false" outlineLevel="0" collapsed="false">
      <c r="H495" s="133"/>
      <c r="X495" s="135"/>
    </row>
    <row r="496" customFormat="false" ht="12" hidden="false" customHeight="false" outlineLevel="0" collapsed="false">
      <c r="H496" s="133"/>
      <c r="X496" s="135"/>
    </row>
    <row r="497" customFormat="false" ht="12" hidden="false" customHeight="false" outlineLevel="0" collapsed="false">
      <c r="H497" s="133"/>
      <c r="X497" s="135"/>
    </row>
    <row r="498" customFormat="false" ht="12" hidden="false" customHeight="false" outlineLevel="0" collapsed="false">
      <c r="H498" s="133"/>
      <c r="X498" s="135"/>
    </row>
    <row r="499" customFormat="false" ht="12" hidden="false" customHeight="false" outlineLevel="0" collapsed="false">
      <c r="H499" s="133"/>
      <c r="X499" s="135"/>
    </row>
    <row r="500" customFormat="false" ht="12" hidden="false" customHeight="false" outlineLevel="0" collapsed="false">
      <c r="H500" s="133"/>
      <c r="X500" s="135"/>
    </row>
    <row r="501" customFormat="false" ht="12" hidden="false" customHeight="false" outlineLevel="0" collapsed="false">
      <c r="H501" s="133"/>
      <c r="X501" s="135"/>
    </row>
    <row r="502" customFormat="false" ht="12" hidden="false" customHeight="false" outlineLevel="0" collapsed="false">
      <c r="H502" s="133"/>
      <c r="X502" s="135"/>
    </row>
    <row r="503" customFormat="false" ht="12" hidden="false" customHeight="false" outlineLevel="0" collapsed="false">
      <c r="H503" s="133"/>
      <c r="X503" s="135"/>
    </row>
    <row r="504" customFormat="false" ht="12" hidden="false" customHeight="false" outlineLevel="0" collapsed="false">
      <c r="H504" s="133"/>
      <c r="X504" s="135"/>
    </row>
    <row r="505" customFormat="false" ht="12" hidden="false" customHeight="false" outlineLevel="0" collapsed="false">
      <c r="H505" s="133"/>
      <c r="X505" s="135"/>
    </row>
    <row r="506" customFormat="false" ht="12" hidden="false" customHeight="false" outlineLevel="0" collapsed="false">
      <c r="H506" s="133"/>
      <c r="X506" s="135"/>
    </row>
    <row r="507" customFormat="false" ht="12" hidden="false" customHeight="false" outlineLevel="0" collapsed="false">
      <c r="H507" s="133"/>
      <c r="X507" s="135"/>
    </row>
    <row r="508" customFormat="false" ht="12" hidden="false" customHeight="false" outlineLevel="0" collapsed="false">
      <c r="H508" s="133"/>
      <c r="X508" s="135"/>
    </row>
    <row r="509" customFormat="false" ht="12" hidden="false" customHeight="false" outlineLevel="0" collapsed="false">
      <c r="H509" s="133"/>
      <c r="X509" s="135"/>
    </row>
    <row r="510" customFormat="false" ht="12" hidden="false" customHeight="false" outlineLevel="0" collapsed="false">
      <c r="H510" s="133"/>
      <c r="X510" s="135"/>
    </row>
    <row r="511" customFormat="false" ht="12" hidden="false" customHeight="false" outlineLevel="0" collapsed="false">
      <c r="H511" s="133"/>
      <c r="X511" s="135"/>
    </row>
    <row r="512" customFormat="false" ht="12" hidden="false" customHeight="false" outlineLevel="0" collapsed="false">
      <c r="H512" s="133"/>
      <c r="X512" s="135"/>
    </row>
    <row r="513" customFormat="false" ht="12" hidden="false" customHeight="false" outlineLevel="0" collapsed="false">
      <c r="H513" s="133"/>
      <c r="X513" s="135"/>
    </row>
    <row r="514" customFormat="false" ht="12" hidden="false" customHeight="false" outlineLevel="0" collapsed="false">
      <c r="H514" s="133"/>
      <c r="X514" s="135"/>
    </row>
    <row r="515" customFormat="false" ht="12" hidden="false" customHeight="false" outlineLevel="0" collapsed="false">
      <c r="H515" s="133"/>
      <c r="X515" s="135"/>
    </row>
    <row r="516" customFormat="false" ht="12" hidden="false" customHeight="false" outlineLevel="0" collapsed="false">
      <c r="H516" s="133"/>
      <c r="X516" s="135"/>
    </row>
    <row r="517" customFormat="false" ht="12" hidden="false" customHeight="false" outlineLevel="0" collapsed="false">
      <c r="H517" s="133"/>
      <c r="X517" s="135"/>
    </row>
    <row r="518" customFormat="false" ht="12" hidden="false" customHeight="false" outlineLevel="0" collapsed="false">
      <c r="H518" s="133"/>
      <c r="X518" s="135"/>
    </row>
    <row r="519" customFormat="false" ht="12" hidden="false" customHeight="false" outlineLevel="0" collapsed="false">
      <c r="H519" s="133"/>
      <c r="X519" s="135"/>
    </row>
    <row r="520" customFormat="false" ht="12" hidden="false" customHeight="false" outlineLevel="0" collapsed="false">
      <c r="H520" s="133"/>
      <c r="X520" s="135"/>
    </row>
    <row r="521" customFormat="false" ht="12" hidden="false" customHeight="false" outlineLevel="0" collapsed="false">
      <c r="H521" s="133"/>
      <c r="X521" s="135"/>
    </row>
    <row r="522" customFormat="false" ht="12" hidden="false" customHeight="false" outlineLevel="0" collapsed="false">
      <c r="H522" s="133"/>
      <c r="X522" s="135"/>
    </row>
    <row r="523" customFormat="false" ht="12" hidden="false" customHeight="false" outlineLevel="0" collapsed="false">
      <c r="H523" s="133"/>
      <c r="X523" s="135"/>
    </row>
    <row r="524" customFormat="false" ht="12" hidden="false" customHeight="false" outlineLevel="0" collapsed="false">
      <c r="H524" s="133"/>
      <c r="X524" s="135"/>
    </row>
    <row r="525" customFormat="false" ht="12" hidden="false" customHeight="false" outlineLevel="0" collapsed="false">
      <c r="H525" s="133"/>
      <c r="X525" s="135"/>
    </row>
    <row r="526" customFormat="false" ht="12" hidden="false" customHeight="false" outlineLevel="0" collapsed="false">
      <c r="H526" s="133"/>
      <c r="X526" s="135"/>
    </row>
    <row r="527" customFormat="false" ht="12" hidden="false" customHeight="false" outlineLevel="0" collapsed="false">
      <c r="H527" s="133"/>
      <c r="X527" s="135"/>
    </row>
    <row r="528" customFormat="false" ht="12" hidden="false" customHeight="false" outlineLevel="0" collapsed="false">
      <c r="H528" s="133"/>
      <c r="X528" s="135"/>
    </row>
    <row r="529" customFormat="false" ht="12" hidden="false" customHeight="false" outlineLevel="0" collapsed="false">
      <c r="H529" s="133"/>
      <c r="X529" s="135"/>
    </row>
    <row r="530" customFormat="false" ht="12" hidden="false" customHeight="false" outlineLevel="0" collapsed="false">
      <c r="H530" s="133"/>
      <c r="X530" s="135"/>
    </row>
    <row r="531" customFormat="false" ht="12" hidden="false" customHeight="false" outlineLevel="0" collapsed="false">
      <c r="H531" s="133"/>
      <c r="X531" s="135"/>
    </row>
    <row r="532" customFormat="false" ht="12" hidden="false" customHeight="false" outlineLevel="0" collapsed="false">
      <c r="H532" s="133"/>
      <c r="X532" s="135"/>
    </row>
    <row r="533" customFormat="false" ht="12" hidden="false" customHeight="false" outlineLevel="0" collapsed="false">
      <c r="H533" s="133"/>
      <c r="X533" s="135"/>
    </row>
    <row r="534" customFormat="false" ht="12" hidden="false" customHeight="false" outlineLevel="0" collapsed="false">
      <c r="H534" s="133"/>
      <c r="X534" s="135"/>
    </row>
    <row r="535" customFormat="false" ht="12" hidden="false" customHeight="false" outlineLevel="0" collapsed="false">
      <c r="H535" s="133"/>
      <c r="X535" s="135"/>
    </row>
    <row r="536" customFormat="false" ht="12" hidden="false" customHeight="false" outlineLevel="0" collapsed="false">
      <c r="H536" s="133"/>
      <c r="X536" s="135"/>
    </row>
    <row r="537" customFormat="false" ht="12" hidden="false" customHeight="false" outlineLevel="0" collapsed="false">
      <c r="H537" s="133"/>
      <c r="X537" s="135"/>
    </row>
    <row r="538" customFormat="false" ht="12" hidden="false" customHeight="false" outlineLevel="0" collapsed="false">
      <c r="H538" s="133"/>
      <c r="X538" s="135"/>
    </row>
    <row r="539" customFormat="false" ht="12" hidden="false" customHeight="false" outlineLevel="0" collapsed="false">
      <c r="H539" s="133"/>
      <c r="X539" s="135"/>
    </row>
    <row r="540" customFormat="false" ht="12" hidden="false" customHeight="false" outlineLevel="0" collapsed="false">
      <c r="H540" s="133"/>
      <c r="X540" s="135"/>
    </row>
    <row r="541" customFormat="false" ht="12" hidden="false" customHeight="false" outlineLevel="0" collapsed="false">
      <c r="H541" s="133"/>
      <c r="X541" s="135"/>
    </row>
    <row r="542" customFormat="false" ht="12" hidden="false" customHeight="false" outlineLevel="0" collapsed="false">
      <c r="H542" s="133"/>
      <c r="X542" s="135"/>
    </row>
    <row r="543" customFormat="false" ht="12" hidden="false" customHeight="false" outlineLevel="0" collapsed="false">
      <c r="H543" s="133"/>
      <c r="X543" s="135"/>
    </row>
    <row r="544" customFormat="false" ht="12" hidden="false" customHeight="false" outlineLevel="0" collapsed="false">
      <c r="H544" s="133"/>
      <c r="X544" s="135"/>
    </row>
    <row r="545" customFormat="false" ht="12" hidden="false" customHeight="false" outlineLevel="0" collapsed="false">
      <c r="H545" s="133"/>
      <c r="X545" s="135"/>
    </row>
    <row r="546" customFormat="false" ht="12" hidden="false" customHeight="false" outlineLevel="0" collapsed="false">
      <c r="H546" s="133"/>
      <c r="X546" s="135"/>
    </row>
    <row r="547" customFormat="false" ht="12" hidden="false" customHeight="false" outlineLevel="0" collapsed="false">
      <c r="H547" s="133"/>
      <c r="X547" s="135"/>
    </row>
    <row r="548" customFormat="false" ht="12" hidden="false" customHeight="false" outlineLevel="0" collapsed="false">
      <c r="H548" s="133"/>
      <c r="X548" s="135"/>
    </row>
    <row r="549" customFormat="false" ht="12" hidden="false" customHeight="false" outlineLevel="0" collapsed="false">
      <c r="H549" s="133"/>
      <c r="X549" s="135"/>
    </row>
    <row r="550" customFormat="false" ht="12" hidden="false" customHeight="false" outlineLevel="0" collapsed="false">
      <c r="H550" s="133"/>
      <c r="X550" s="135"/>
    </row>
    <row r="551" customFormat="false" ht="12" hidden="false" customHeight="false" outlineLevel="0" collapsed="false">
      <c r="H551" s="133"/>
      <c r="X551" s="135"/>
    </row>
    <row r="552" customFormat="false" ht="12" hidden="false" customHeight="false" outlineLevel="0" collapsed="false">
      <c r="H552" s="133"/>
      <c r="X552" s="135"/>
    </row>
    <row r="553" customFormat="false" ht="12" hidden="false" customHeight="false" outlineLevel="0" collapsed="false">
      <c r="H553" s="133"/>
      <c r="X553" s="135"/>
    </row>
    <row r="554" customFormat="false" ht="12" hidden="false" customHeight="false" outlineLevel="0" collapsed="false">
      <c r="H554" s="133"/>
      <c r="X554" s="135"/>
    </row>
    <row r="555" customFormat="false" ht="12" hidden="false" customHeight="false" outlineLevel="0" collapsed="false">
      <c r="H555" s="133"/>
      <c r="X555" s="135"/>
    </row>
    <row r="556" customFormat="false" ht="12" hidden="false" customHeight="false" outlineLevel="0" collapsed="false">
      <c r="H556" s="133"/>
      <c r="X556" s="135"/>
    </row>
    <row r="557" customFormat="false" ht="12" hidden="false" customHeight="false" outlineLevel="0" collapsed="false">
      <c r="H557" s="133"/>
      <c r="X557" s="135"/>
    </row>
    <row r="558" customFormat="false" ht="12" hidden="false" customHeight="false" outlineLevel="0" collapsed="false">
      <c r="H558" s="133"/>
      <c r="X558" s="135"/>
    </row>
    <row r="559" customFormat="false" ht="12" hidden="false" customHeight="false" outlineLevel="0" collapsed="false">
      <c r="H559" s="133"/>
      <c r="X559" s="135"/>
    </row>
    <row r="560" customFormat="false" ht="12" hidden="false" customHeight="false" outlineLevel="0" collapsed="false">
      <c r="H560" s="133"/>
      <c r="X560" s="135"/>
    </row>
    <row r="561" customFormat="false" ht="12" hidden="false" customHeight="false" outlineLevel="0" collapsed="false">
      <c r="H561" s="133"/>
      <c r="X561" s="135"/>
    </row>
    <row r="562" customFormat="false" ht="12" hidden="false" customHeight="false" outlineLevel="0" collapsed="false">
      <c r="H562" s="133"/>
      <c r="X562" s="135"/>
    </row>
    <row r="563" customFormat="false" ht="12" hidden="false" customHeight="false" outlineLevel="0" collapsed="false">
      <c r="H563" s="133"/>
      <c r="X563" s="135"/>
    </row>
    <row r="564" customFormat="false" ht="12" hidden="false" customHeight="false" outlineLevel="0" collapsed="false">
      <c r="H564" s="133"/>
      <c r="X564" s="135"/>
    </row>
    <row r="565" customFormat="false" ht="12" hidden="false" customHeight="false" outlineLevel="0" collapsed="false">
      <c r="H565" s="133"/>
      <c r="X565" s="135"/>
    </row>
    <row r="566" customFormat="false" ht="12" hidden="false" customHeight="false" outlineLevel="0" collapsed="false">
      <c r="H566" s="133"/>
      <c r="X566" s="135"/>
    </row>
    <row r="567" customFormat="false" ht="12" hidden="false" customHeight="false" outlineLevel="0" collapsed="false">
      <c r="H567" s="133"/>
      <c r="X567" s="135"/>
    </row>
    <row r="568" customFormat="false" ht="12" hidden="false" customHeight="false" outlineLevel="0" collapsed="false">
      <c r="H568" s="133"/>
      <c r="X568" s="135"/>
    </row>
    <row r="569" customFormat="false" ht="12" hidden="false" customHeight="false" outlineLevel="0" collapsed="false">
      <c r="H569" s="133"/>
      <c r="X569" s="135"/>
    </row>
    <row r="570" customFormat="false" ht="12" hidden="false" customHeight="false" outlineLevel="0" collapsed="false">
      <c r="H570" s="133"/>
      <c r="X570" s="135"/>
    </row>
    <row r="571" customFormat="false" ht="12" hidden="false" customHeight="false" outlineLevel="0" collapsed="false">
      <c r="H571" s="133"/>
      <c r="X571" s="135"/>
    </row>
    <row r="572" customFormat="false" ht="12" hidden="false" customHeight="false" outlineLevel="0" collapsed="false">
      <c r="H572" s="133"/>
      <c r="X572" s="135"/>
    </row>
    <row r="573" customFormat="false" ht="12" hidden="false" customHeight="false" outlineLevel="0" collapsed="false">
      <c r="H573" s="133"/>
      <c r="X573" s="135"/>
    </row>
    <row r="574" customFormat="false" ht="12" hidden="false" customHeight="false" outlineLevel="0" collapsed="false">
      <c r="H574" s="133"/>
      <c r="X574" s="135"/>
    </row>
    <row r="575" customFormat="false" ht="12" hidden="false" customHeight="false" outlineLevel="0" collapsed="false">
      <c r="H575" s="133"/>
      <c r="X575" s="135"/>
    </row>
    <row r="576" customFormat="false" ht="12" hidden="false" customHeight="false" outlineLevel="0" collapsed="false">
      <c r="H576" s="133"/>
      <c r="X576" s="135"/>
    </row>
    <row r="577" customFormat="false" ht="12" hidden="false" customHeight="false" outlineLevel="0" collapsed="false">
      <c r="H577" s="133"/>
      <c r="X577" s="135"/>
    </row>
    <row r="578" customFormat="false" ht="12" hidden="false" customHeight="false" outlineLevel="0" collapsed="false">
      <c r="H578" s="133"/>
      <c r="X578" s="135"/>
    </row>
    <row r="579" customFormat="false" ht="12" hidden="false" customHeight="false" outlineLevel="0" collapsed="false">
      <c r="H579" s="133"/>
      <c r="X579" s="135"/>
    </row>
    <row r="580" customFormat="false" ht="12" hidden="false" customHeight="false" outlineLevel="0" collapsed="false">
      <c r="H580" s="133"/>
      <c r="X580" s="135"/>
    </row>
    <row r="581" customFormat="false" ht="12" hidden="false" customHeight="false" outlineLevel="0" collapsed="false">
      <c r="H581" s="133"/>
      <c r="X581" s="135"/>
    </row>
    <row r="582" customFormat="false" ht="12" hidden="false" customHeight="false" outlineLevel="0" collapsed="false">
      <c r="H582" s="133"/>
      <c r="X582" s="135"/>
    </row>
    <row r="583" customFormat="false" ht="12" hidden="false" customHeight="false" outlineLevel="0" collapsed="false">
      <c r="H583" s="133"/>
      <c r="X583" s="135"/>
    </row>
    <row r="584" customFormat="false" ht="12" hidden="false" customHeight="false" outlineLevel="0" collapsed="false">
      <c r="H584" s="133"/>
      <c r="X584" s="135"/>
    </row>
    <row r="585" customFormat="false" ht="12" hidden="false" customHeight="false" outlineLevel="0" collapsed="false">
      <c r="H585" s="133"/>
      <c r="X585" s="135"/>
    </row>
    <row r="586" customFormat="false" ht="12" hidden="false" customHeight="false" outlineLevel="0" collapsed="false">
      <c r="H586" s="133"/>
      <c r="X586" s="135"/>
    </row>
    <row r="587" customFormat="false" ht="12" hidden="false" customHeight="false" outlineLevel="0" collapsed="false">
      <c r="H587" s="133"/>
      <c r="X587" s="135"/>
    </row>
    <row r="588" customFormat="false" ht="12" hidden="false" customHeight="false" outlineLevel="0" collapsed="false">
      <c r="H588" s="133"/>
      <c r="X588" s="135"/>
    </row>
    <row r="589" customFormat="false" ht="12" hidden="false" customHeight="false" outlineLevel="0" collapsed="false">
      <c r="H589" s="133"/>
      <c r="X589" s="135"/>
    </row>
    <row r="590" customFormat="false" ht="12" hidden="false" customHeight="false" outlineLevel="0" collapsed="false">
      <c r="H590" s="133"/>
      <c r="X590" s="135"/>
    </row>
    <row r="591" customFormat="false" ht="12" hidden="false" customHeight="false" outlineLevel="0" collapsed="false">
      <c r="H591" s="133"/>
      <c r="X591" s="135"/>
    </row>
    <row r="592" customFormat="false" ht="12" hidden="false" customHeight="false" outlineLevel="0" collapsed="false">
      <c r="H592" s="133"/>
      <c r="X592" s="135"/>
    </row>
    <row r="593" customFormat="false" ht="12" hidden="false" customHeight="false" outlineLevel="0" collapsed="false">
      <c r="H593" s="133"/>
      <c r="X593" s="135"/>
    </row>
    <row r="594" customFormat="false" ht="12" hidden="false" customHeight="false" outlineLevel="0" collapsed="false">
      <c r="H594" s="133"/>
      <c r="X594" s="135"/>
    </row>
    <row r="595" customFormat="false" ht="12" hidden="false" customHeight="false" outlineLevel="0" collapsed="false">
      <c r="H595" s="133"/>
      <c r="X595" s="135"/>
    </row>
    <row r="596" customFormat="false" ht="12" hidden="false" customHeight="false" outlineLevel="0" collapsed="false">
      <c r="H596" s="133"/>
      <c r="X596" s="135"/>
    </row>
    <row r="597" customFormat="false" ht="12" hidden="false" customHeight="false" outlineLevel="0" collapsed="false">
      <c r="H597" s="133"/>
      <c r="X597" s="135"/>
    </row>
    <row r="598" customFormat="false" ht="12" hidden="false" customHeight="false" outlineLevel="0" collapsed="false">
      <c r="H598" s="133"/>
      <c r="X598" s="135"/>
    </row>
    <row r="599" customFormat="false" ht="12" hidden="false" customHeight="false" outlineLevel="0" collapsed="false">
      <c r="H599" s="133"/>
      <c r="X599" s="135"/>
    </row>
    <row r="600" customFormat="false" ht="12" hidden="false" customHeight="false" outlineLevel="0" collapsed="false">
      <c r="H600" s="133"/>
      <c r="X600" s="135"/>
    </row>
    <row r="601" customFormat="false" ht="12" hidden="false" customHeight="false" outlineLevel="0" collapsed="false">
      <c r="H601" s="133"/>
      <c r="X601" s="135"/>
    </row>
    <row r="602" customFormat="false" ht="12" hidden="false" customHeight="false" outlineLevel="0" collapsed="false">
      <c r="H602" s="133"/>
      <c r="X602" s="135"/>
    </row>
    <row r="603" customFormat="false" ht="12" hidden="false" customHeight="false" outlineLevel="0" collapsed="false">
      <c r="H603" s="133"/>
      <c r="X603" s="135"/>
    </row>
    <row r="604" customFormat="false" ht="12" hidden="false" customHeight="false" outlineLevel="0" collapsed="false">
      <c r="H604" s="133"/>
      <c r="X604" s="135"/>
    </row>
    <row r="605" customFormat="false" ht="12" hidden="false" customHeight="false" outlineLevel="0" collapsed="false">
      <c r="H605" s="133"/>
      <c r="X605" s="135"/>
    </row>
    <row r="606" customFormat="false" ht="12" hidden="false" customHeight="false" outlineLevel="0" collapsed="false">
      <c r="H606" s="133"/>
      <c r="X606" s="135"/>
    </row>
    <row r="607" customFormat="false" ht="12" hidden="false" customHeight="false" outlineLevel="0" collapsed="false">
      <c r="H607" s="133"/>
      <c r="X607" s="135"/>
    </row>
    <row r="608" customFormat="false" ht="12" hidden="false" customHeight="false" outlineLevel="0" collapsed="false">
      <c r="H608" s="133"/>
      <c r="X608" s="135"/>
    </row>
    <row r="609" customFormat="false" ht="12" hidden="false" customHeight="false" outlineLevel="0" collapsed="false">
      <c r="H609" s="133"/>
      <c r="X609" s="135"/>
    </row>
    <row r="610" customFormat="false" ht="12" hidden="false" customHeight="false" outlineLevel="0" collapsed="false">
      <c r="H610" s="133"/>
      <c r="X610" s="135"/>
    </row>
    <row r="611" customFormat="false" ht="12" hidden="false" customHeight="false" outlineLevel="0" collapsed="false">
      <c r="H611" s="133"/>
      <c r="X611" s="135"/>
    </row>
    <row r="612" customFormat="false" ht="12" hidden="false" customHeight="false" outlineLevel="0" collapsed="false">
      <c r="H612" s="133"/>
      <c r="X612" s="135"/>
    </row>
    <row r="613" customFormat="false" ht="12" hidden="false" customHeight="false" outlineLevel="0" collapsed="false">
      <c r="H613" s="133"/>
      <c r="X613" s="135"/>
    </row>
    <row r="614" customFormat="false" ht="12" hidden="false" customHeight="false" outlineLevel="0" collapsed="false">
      <c r="H614" s="133"/>
      <c r="X614" s="135"/>
    </row>
    <row r="615" customFormat="false" ht="12" hidden="false" customHeight="false" outlineLevel="0" collapsed="false">
      <c r="H615" s="133"/>
      <c r="X615" s="135"/>
    </row>
    <row r="616" customFormat="false" ht="12" hidden="false" customHeight="false" outlineLevel="0" collapsed="false">
      <c r="H616" s="133"/>
      <c r="X616" s="135"/>
    </row>
    <row r="617" customFormat="false" ht="12" hidden="false" customHeight="false" outlineLevel="0" collapsed="false">
      <c r="H617" s="133"/>
      <c r="X617" s="135"/>
    </row>
    <row r="618" customFormat="false" ht="12" hidden="false" customHeight="false" outlineLevel="0" collapsed="false">
      <c r="H618" s="133"/>
      <c r="X618" s="135"/>
    </row>
    <row r="619" customFormat="false" ht="12" hidden="false" customHeight="false" outlineLevel="0" collapsed="false">
      <c r="H619" s="133"/>
      <c r="X619" s="135"/>
    </row>
    <row r="620" customFormat="false" ht="12" hidden="false" customHeight="false" outlineLevel="0" collapsed="false">
      <c r="H620" s="133"/>
      <c r="X620" s="135"/>
    </row>
    <row r="621" customFormat="false" ht="12" hidden="false" customHeight="false" outlineLevel="0" collapsed="false">
      <c r="H621" s="133"/>
      <c r="X621" s="135"/>
    </row>
    <row r="622" customFormat="false" ht="12" hidden="false" customHeight="false" outlineLevel="0" collapsed="false">
      <c r="H622" s="133"/>
      <c r="X622" s="135"/>
    </row>
    <row r="623" customFormat="false" ht="12" hidden="false" customHeight="false" outlineLevel="0" collapsed="false">
      <c r="H623" s="133"/>
      <c r="X623" s="135"/>
    </row>
    <row r="624" customFormat="false" ht="12" hidden="false" customHeight="false" outlineLevel="0" collapsed="false">
      <c r="H624" s="133"/>
      <c r="X624" s="135"/>
    </row>
    <row r="625" customFormat="false" ht="12" hidden="false" customHeight="false" outlineLevel="0" collapsed="false">
      <c r="H625" s="133"/>
      <c r="X625" s="135"/>
    </row>
    <row r="626" customFormat="false" ht="12" hidden="false" customHeight="false" outlineLevel="0" collapsed="false">
      <c r="H626" s="133"/>
      <c r="X626" s="135"/>
    </row>
    <row r="627" customFormat="false" ht="12" hidden="false" customHeight="false" outlineLevel="0" collapsed="false">
      <c r="H627" s="133"/>
      <c r="X627" s="135"/>
    </row>
    <row r="628" customFormat="false" ht="12" hidden="false" customHeight="false" outlineLevel="0" collapsed="false">
      <c r="H628" s="133"/>
      <c r="X628" s="135"/>
    </row>
    <row r="629" customFormat="false" ht="12" hidden="false" customHeight="false" outlineLevel="0" collapsed="false">
      <c r="H629" s="133"/>
      <c r="X629" s="135"/>
    </row>
    <row r="630" customFormat="false" ht="12" hidden="false" customHeight="false" outlineLevel="0" collapsed="false">
      <c r="H630" s="133"/>
      <c r="X630" s="135"/>
    </row>
    <row r="631" customFormat="false" ht="12" hidden="false" customHeight="false" outlineLevel="0" collapsed="false">
      <c r="H631" s="133"/>
      <c r="X631" s="135"/>
    </row>
    <row r="632" customFormat="false" ht="12" hidden="false" customHeight="false" outlineLevel="0" collapsed="false">
      <c r="H632" s="133"/>
      <c r="X632" s="135"/>
    </row>
    <row r="633" customFormat="false" ht="12" hidden="false" customHeight="false" outlineLevel="0" collapsed="false">
      <c r="H633" s="133"/>
      <c r="X633" s="135"/>
    </row>
    <row r="634" customFormat="false" ht="12" hidden="false" customHeight="false" outlineLevel="0" collapsed="false">
      <c r="H634" s="133"/>
      <c r="X634" s="135"/>
    </row>
    <row r="635" customFormat="false" ht="12" hidden="false" customHeight="false" outlineLevel="0" collapsed="false">
      <c r="H635" s="133"/>
      <c r="X635" s="135"/>
    </row>
    <row r="636" customFormat="false" ht="12" hidden="false" customHeight="false" outlineLevel="0" collapsed="false">
      <c r="H636" s="133"/>
      <c r="X636" s="135"/>
    </row>
    <row r="637" customFormat="false" ht="12" hidden="false" customHeight="false" outlineLevel="0" collapsed="false">
      <c r="H637" s="133"/>
      <c r="X637" s="135"/>
    </row>
    <row r="638" customFormat="false" ht="12" hidden="false" customHeight="false" outlineLevel="0" collapsed="false">
      <c r="H638" s="133"/>
      <c r="X638" s="135"/>
    </row>
    <row r="639" customFormat="false" ht="12" hidden="false" customHeight="false" outlineLevel="0" collapsed="false">
      <c r="H639" s="133"/>
      <c r="X639" s="135"/>
    </row>
    <row r="640" customFormat="false" ht="12" hidden="false" customHeight="false" outlineLevel="0" collapsed="false">
      <c r="H640" s="133"/>
      <c r="X640" s="135"/>
    </row>
    <row r="641" customFormat="false" ht="12" hidden="false" customHeight="false" outlineLevel="0" collapsed="false">
      <c r="H641" s="133"/>
      <c r="X641" s="135"/>
    </row>
    <row r="642" customFormat="false" ht="12" hidden="false" customHeight="false" outlineLevel="0" collapsed="false">
      <c r="H642" s="133"/>
      <c r="X642" s="135"/>
    </row>
    <row r="643" customFormat="false" ht="12" hidden="false" customHeight="false" outlineLevel="0" collapsed="false">
      <c r="H643" s="133"/>
      <c r="X643" s="135"/>
    </row>
    <row r="644" customFormat="false" ht="12" hidden="false" customHeight="false" outlineLevel="0" collapsed="false">
      <c r="H644" s="133"/>
      <c r="X644" s="135"/>
    </row>
    <row r="645" customFormat="false" ht="12" hidden="false" customHeight="false" outlineLevel="0" collapsed="false">
      <c r="H645" s="133"/>
      <c r="X645" s="135"/>
    </row>
    <row r="646" customFormat="false" ht="12" hidden="false" customHeight="false" outlineLevel="0" collapsed="false">
      <c r="H646" s="133"/>
      <c r="X646" s="135"/>
    </row>
    <row r="647" customFormat="false" ht="12" hidden="false" customHeight="false" outlineLevel="0" collapsed="false">
      <c r="H647" s="133"/>
      <c r="X647" s="135"/>
    </row>
    <row r="648" customFormat="false" ht="12" hidden="false" customHeight="false" outlineLevel="0" collapsed="false">
      <c r="H648" s="133"/>
      <c r="X648" s="135"/>
    </row>
    <row r="649" customFormat="false" ht="12" hidden="false" customHeight="false" outlineLevel="0" collapsed="false">
      <c r="H649" s="133"/>
      <c r="X649" s="135"/>
    </row>
    <row r="650" customFormat="false" ht="12" hidden="false" customHeight="false" outlineLevel="0" collapsed="false">
      <c r="H650" s="133"/>
      <c r="X650" s="135"/>
    </row>
    <row r="651" customFormat="false" ht="12" hidden="false" customHeight="false" outlineLevel="0" collapsed="false">
      <c r="H651" s="133"/>
      <c r="X651" s="135"/>
    </row>
    <row r="652" customFormat="false" ht="12" hidden="false" customHeight="false" outlineLevel="0" collapsed="false">
      <c r="H652" s="133"/>
      <c r="X652" s="135"/>
    </row>
    <row r="653" customFormat="false" ht="12" hidden="false" customHeight="false" outlineLevel="0" collapsed="false">
      <c r="H653" s="133"/>
      <c r="X653" s="135"/>
    </row>
    <row r="654" customFormat="false" ht="12" hidden="false" customHeight="false" outlineLevel="0" collapsed="false">
      <c r="H654" s="133"/>
      <c r="X654" s="135"/>
    </row>
    <row r="655" customFormat="false" ht="12" hidden="false" customHeight="false" outlineLevel="0" collapsed="false">
      <c r="H655" s="133"/>
      <c r="X655" s="135"/>
    </row>
    <row r="656" customFormat="false" ht="12" hidden="false" customHeight="false" outlineLevel="0" collapsed="false">
      <c r="H656" s="133"/>
      <c r="X656" s="135"/>
    </row>
    <row r="657" customFormat="false" ht="12" hidden="false" customHeight="false" outlineLevel="0" collapsed="false">
      <c r="H657" s="133"/>
      <c r="X657" s="135"/>
    </row>
    <row r="658" customFormat="false" ht="12" hidden="false" customHeight="false" outlineLevel="0" collapsed="false">
      <c r="H658" s="133"/>
      <c r="X658" s="135"/>
    </row>
    <row r="659" customFormat="false" ht="12" hidden="false" customHeight="false" outlineLevel="0" collapsed="false">
      <c r="H659" s="133"/>
      <c r="X659" s="135"/>
    </row>
    <row r="660" customFormat="false" ht="12" hidden="false" customHeight="false" outlineLevel="0" collapsed="false">
      <c r="H660" s="133"/>
      <c r="X660" s="135"/>
    </row>
    <row r="661" customFormat="false" ht="12" hidden="false" customHeight="false" outlineLevel="0" collapsed="false">
      <c r="H661" s="133"/>
      <c r="X661" s="135"/>
    </row>
    <row r="662" customFormat="false" ht="12" hidden="false" customHeight="false" outlineLevel="0" collapsed="false">
      <c r="H662" s="133"/>
      <c r="X662" s="135"/>
    </row>
    <row r="663" customFormat="false" ht="12" hidden="false" customHeight="false" outlineLevel="0" collapsed="false">
      <c r="H663" s="133"/>
      <c r="X663" s="135"/>
    </row>
    <row r="664" customFormat="false" ht="12" hidden="false" customHeight="false" outlineLevel="0" collapsed="false">
      <c r="H664" s="133"/>
      <c r="X664" s="135"/>
    </row>
    <row r="665" customFormat="false" ht="12" hidden="false" customHeight="false" outlineLevel="0" collapsed="false">
      <c r="H665" s="133"/>
      <c r="X665" s="135"/>
    </row>
    <row r="666" customFormat="false" ht="12" hidden="false" customHeight="false" outlineLevel="0" collapsed="false">
      <c r="H666" s="133"/>
      <c r="X666" s="135"/>
    </row>
    <row r="667" customFormat="false" ht="12" hidden="false" customHeight="false" outlineLevel="0" collapsed="false">
      <c r="H667" s="133"/>
      <c r="X667" s="135"/>
    </row>
    <row r="668" customFormat="false" ht="12" hidden="false" customHeight="false" outlineLevel="0" collapsed="false">
      <c r="H668" s="133"/>
      <c r="X668" s="135"/>
    </row>
    <row r="669" customFormat="false" ht="12" hidden="false" customHeight="false" outlineLevel="0" collapsed="false">
      <c r="H669" s="133"/>
      <c r="X669" s="135"/>
    </row>
    <row r="670" customFormat="false" ht="12" hidden="false" customHeight="false" outlineLevel="0" collapsed="false">
      <c r="H670" s="133"/>
      <c r="X670" s="135"/>
    </row>
    <row r="671" customFormat="false" ht="12" hidden="false" customHeight="false" outlineLevel="0" collapsed="false">
      <c r="H671" s="133"/>
      <c r="X671" s="135"/>
    </row>
    <row r="672" customFormat="false" ht="12" hidden="false" customHeight="false" outlineLevel="0" collapsed="false">
      <c r="H672" s="133"/>
      <c r="X672" s="135"/>
    </row>
    <row r="673" customFormat="false" ht="12" hidden="false" customHeight="false" outlineLevel="0" collapsed="false">
      <c r="H673" s="133"/>
      <c r="X673" s="135"/>
    </row>
    <row r="674" customFormat="false" ht="12" hidden="false" customHeight="false" outlineLevel="0" collapsed="false">
      <c r="H674" s="133"/>
      <c r="X674" s="135"/>
    </row>
    <row r="675" customFormat="false" ht="12" hidden="false" customHeight="false" outlineLevel="0" collapsed="false">
      <c r="H675" s="133"/>
      <c r="X675" s="135"/>
    </row>
    <row r="676" customFormat="false" ht="12" hidden="false" customHeight="false" outlineLevel="0" collapsed="false">
      <c r="H676" s="133"/>
      <c r="X676" s="135"/>
    </row>
    <row r="677" customFormat="false" ht="12" hidden="false" customHeight="false" outlineLevel="0" collapsed="false">
      <c r="H677" s="133"/>
      <c r="X677" s="135"/>
    </row>
    <row r="678" customFormat="false" ht="12" hidden="false" customHeight="false" outlineLevel="0" collapsed="false">
      <c r="H678" s="133"/>
      <c r="X678" s="135"/>
    </row>
    <row r="679" customFormat="false" ht="12" hidden="false" customHeight="false" outlineLevel="0" collapsed="false">
      <c r="H679" s="133"/>
      <c r="X679" s="135"/>
    </row>
    <row r="680" customFormat="false" ht="12" hidden="false" customHeight="false" outlineLevel="0" collapsed="false">
      <c r="H680" s="133"/>
      <c r="X680" s="135"/>
    </row>
    <row r="681" customFormat="false" ht="12" hidden="false" customHeight="false" outlineLevel="0" collapsed="false">
      <c r="H681" s="133"/>
      <c r="X681" s="135"/>
    </row>
    <row r="682" customFormat="false" ht="12" hidden="false" customHeight="false" outlineLevel="0" collapsed="false">
      <c r="H682" s="133"/>
      <c r="X682" s="135"/>
    </row>
    <row r="683" customFormat="false" ht="12" hidden="false" customHeight="false" outlineLevel="0" collapsed="false">
      <c r="H683" s="133"/>
      <c r="X683" s="135"/>
    </row>
    <row r="684" customFormat="false" ht="12" hidden="false" customHeight="false" outlineLevel="0" collapsed="false">
      <c r="H684" s="133"/>
      <c r="X684" s="135"/>
    </row>
    <row r="685" customFormat="false" ht="12" hidden="false" customHeight="false" outlineLevel="0" collapsed="false">
      <c r="H685" s="133"/>
      <c r="X685" s="135"/>
    </row>
    <row r="686" customFormat="false" ht="12" hidden="false" customHeight="false" outlineLevel="0" collapsed="false">
      <c r="H686" s="133"/>
      <c r="X686" s="135"/>
    </row>
    <row r="687" customFormat="false" ht="12" hidden="false" customHeight="false" outlineLevel="0" collapsed="false">
      <c r="H687" s="133"/>
      <c r="X687" s="135"/>
    </row>
    <row r="688" customFormat="false" ht="12" hidden="false" customHeight="false" outlineLevel="0" collapsed="false">
      <c r="H688" s="133"/>
      <c r="X688" s="135"/>
    </row>
    <row r="689" customFormat="false" ht="12" hidden="false" customHeight="false" outlineLevel="0" collapsed="false">
      <c r="H689" s="133"/>
      <c r="X689" s="135"/>
    </row>
    <row r="690" customFormat="false" ht="12" hidden="false" customHeight="false" outlineLevel="0" collapsed="false">
      <c r="H690" s="133"/>
      <c r="X690" s="135"/>
    </row>
    <row r="691" customFormat="false" ht="12" hidden="false" customHeight="false" outlineLevel="0" collapsed="false">
      <c r="H691" s="133"/>
      <c r="X691" s="135"/>
    </row>
    <row r="692" customFormat="false" ht="12" hidden="false" customHeight="false" outlineLevel="0" collapsed="false">
      <c r="H692" s="133"/>
      <c r="X692" s="135"/>
    </row>
    <row r="693" customFormat="false" ht="12" hidden="false" customHeight="false" outlineLevel="0" collapsed="false">
      <c r="H693" s="133"/>
      <c r="X693" s="135"/>
    </row>
    <row r="694" customFormat="false" ht="12" hidden="false" customHeight="false" outlineLevel="0" collapsed="false">
      <c r="H694" s="133"/>
      <c r="X694" s="135"/>
    </row>
    <row r="695" customFormat="false" ht="12" hidden="false" customHeight="false" outlineLevel="0" collapsed="false">
      <c r="H695" s="133"/>
      <c r="X695" s="135"/>
    </row>
    <row r="696" customFormat="false" ht="12" hidden="false" customHeight="false" outlineLevel="0" collapsed="false">
      <c r="H696" s="133"/>
      <c r="X696" s="135"/>
    </row>
    <row r="697" customFormat="false" ht="12" hidden="false" customHeight="false" outlineLevel="0" collapsed="false">
      <c r="H697" s="133"/>
      <c r="X697" s="135"/>
    </row>
    <row r="698" customFormat="false" ht="12" hidden="false" customHeight="false" outlineLevel="0" collapsed="false">
      <c r="H698" s="133"/>
      <c r="X698" s="135"/>
    </row>
    <row r="699" customFormat="false" ht="12" hidden="false" customHeight="false" outlineLevel="0" collapsed="false">
      <c r="H699" s="133"/>
      <c r="X699" s="135"/>
    </row>
    <row r="700" customFormat="false" ht="12" hidden="false" customHeight="false" outlineLevel="0" collapsed="false">
      <c r="H700" s="133"/>
      <c r="X700" s="135"/>
    </row>
    <row r="701" customFormat="false" ht="12" hidden="false" customHeight="false" outlineLevel="0" collapsed="false">
      <c r="H701" s="133"/>
      <c r="X701" s="135"/>
    </row>
    <row r="702" customFormat="false" ht="12" hidden="false" customHeight="false" outlineLevel="0" collapsed="false">
      <c r="H702" s="133"/>
      <c r="X702" s="135"/>
    </row>
    <row r="703" customFormat="false" ht="12" hidden="false" customHeight="false" outlineLevel="0" collapsed="false">
      <c r="H703" s="133"/>
      <c r="X703" s="135"/>
    </row>
    <row r="704" customFormat="false" ht="12" hidden="false" customHeight="false" outlineLevel="0" collapsed="false">
      <c r="H704" s="133"/>
      <c r="X704" s="135"/>
    </row>
    <row r="705" customFormat="false" ht="12" hidden="false" customHeight="false" outlineLevel="0" collapsed="false">
      <c r="H705" s="133"/>
      <c r="X705" s="135"/>
    </row>
    <row r="706" customFormat="false" ht="12" hidden="false" customHeight="false" outlineLevel="0" collapsed="false">
      <c r="H706" s="133"/>
      <c r="X706" s="135"/>
    </row>
    <row r="707" customFormat="false" ht="12" hidden="false" customHeight="false" outlineLevel="0" collapsed="false">
      <c r="H707" s="133"/>
      <c r="X707" s="135"/>
    </row>
    <row r="708" customFormat="false" ht="12" hidden="false" customHeight="false" outlineLevel="0" collapsed="false">
      <c r="H708" s="133"/>
      <c r="X708" s="135"/>
    </row>
    <row r="709" customFormat="false" ht="12" hidden="false" customHeight="false" outlineLevel="0" collapsed="false">
      <c r="H709" s="133"/>
      <c r="X709" s="135"/>
    </row>
    <row r="710" customFormat="false" ht="12" hidden="false" customHeight="false" outlineLevel="0" collapsed="false">
      <c r="H710" s="133"/>
      <c r="X710" s="135"/>
    </row>
    <row r="711" customFormat="false" ht="12" hidden="false" customHeight="false" outlineLevel="0" collapsed="false">
      <c r="H711" s="133"/>
      <c r="X711" s="135"/>
    </row>
    <row r="712" customFormat="false" ht="12" hidden="false" customHeight="false" outlineLevel="0" collapsed="false">
      <c r="H712" s="133"/>
      <c r="X712" s="135"/>
    </row>
    <row r="713" customFormat="false" ht="12" hidden="false" customHeight="false" outlineLevel="0" collapsed="false">
      <c r="H713" s="133"/>
      <c r="X713" s="135"/>
    </row>
    <row r="714" customFormat="false" ht="12" hidden="false" customHeight="false" outlineLevel="0" collapsed="false">
      <c r="H714" s="133"/>
      <c r="X714" s="135"/>
    </row>
    <row r="715" customFormat="false" ht="12" hidden="false" customHeight="false" outlineLevel="0" collapsed="false">
      <c r="H715" s="133"/>
      <c r="X715" s="135"/>
    </row>
    <row r="716" customFormat="false" ht="12" hidden="false" customHeight="false" outlineLevel="0" collapsed="false">
      <c r="H716" s="133"/>
      <c r="X716" s="135"/>
    </row>
    <row r="717" customFormat="false" ht="12" hidden="false" customHeight="false" outlineLevel="0" collapsed="false">
      <c r="H717" s="133"/>
      <c r="X717" s="135"/>
    </row>
    <row r="718" customFormat="false" ht="12" hidden="false" customHeight="false" outlineLevel="0" collapsed="false">
      <c r="H718" s="133"/>
      <c r="X718" s="135"/>
    </row>
    <row r="719" customFormat="false" ht="12" hidden="false" customHeight="false" outlineLevel="0" collapsed="false">
      <c r="H719" s="133"/>
      <c r="X719" s="135"/>
    </row>
    <row r="720" customFormat="false" ht="12" hidden="false" customHeight="false" outlineLevel="0" collapsed="false">
      <c r="H720" s="133"/>
      <c r="X720" s="135"/>
    </row>
    <row r="721" customFormat="false" ht="12" hidden="false" customHeight="false" outlineLevel="0" collapsed="false">
      <c r="H721" s="133"/>
      <c r="X721" s="135"/>
    </row>
    <row r="722" customFormat="false" ht="12" hidden="false" customHeight="false" outlineLevel="0" collapsed="false">
      <c r="H722" s="133"/>
      <c r="X722" s="135"/>
    </row>
    <row r="723" customFormat="false" ht="12" hidden="false" customHeight="false" outlineLevel="0" collapsed="false">
      <c r="H723" s="133"/>
      <c r="X723" s="135"/>
    </row>
    <row r="724" customFormat="false" ht="12" hidden="false" customHeight="false" outlineLevel="0" collapsed="false">
      <c r="H724" s="133"/>
      <c r="X724" s="135"/>
    </row>
    <row r="725" customFormat="false" ht="12" hidden="false" customHeight="false" outlineLevel="0" collapsed="false">
      <c r="H725" s="133"/>
      <c r="X725" s="135"/>
    </row>
    <row r="726" customFormat="false" ht="12" hidden="false" customHeight="false" outlineLevel="0" collapsed="false">
      <c r="H726" s="133"/>
      <c r="X726" s="135"/>
    </row>
    <row r="727" customFormat="false" ht="12" hidden="false" customHeight="false" outlineLevel="0" collapsed="false">
      <c r="H727" s="133"/>
      <c r="X727" s="135"/>
    </row>
    <row r="728" customFormat="false" ht="12" hidden="false" customHeight="false" outlineLevel="0" collapsed="false">
      <c r="H728" s="133"/>
      <c r="X728" s="135"/>
    </row>
    <row r="729" customFormat="false" ht="12" hidden="false" customHeight="false" outlineLevel="0" collapsed="false">
      <c r="H729" s="133"/>
      <c r="X729" s="135"/>
    </row>
    <row r="730" customFormat="false" ht="12" hidden="false" customHeight="false" outlineLevel="0" collapsed="false">
      <c r="H730" s="133"/>
      <c r="X730" s="135"/>
    </row>
    <row r="731" customFormat="false" ht="12" hidden="false" customHeight="false" outlineLevel="0" collapsed="false">
      <c r="H731" s="133"/>
      <c r="X731" s="135"/>
    </row>
    <row r="732" customFormat="false" ht="12" hidden="false" customHeight="false" outlineLevel="0" collapsed="false">
      <c r="H732" s="133"/>
      <c r="X732" s="135"/>
    </row>
    <row r="733" customFormat="false" ht="12" hidden="false" customHeight="false" outlineLevel="0" collapsed="false">
      <c r="H733" s="133"/>
      <c r="X733" s="135"/>
    </row>
    <row r="734" customFormat="false" ht="12" hidden="false" customHeight="false" outlineLevel="0" collapsed="false">
      <c r="H734" s="133"/>
      <c r="X734" s="135"/>
    </row>
    <row r="735" customFormat="false" ht="12" hidden="false" customHeight="false" outlineLevel="0" collapsed="false">
      <c r="H735" s="133"/>
      <c r="X735" s="135"/>
    </row>
    <row r="736" customFormat="false" ht="12" hidden="false" customHeight="false" outlineLevel="0" collapsed="false">
      <c r="H736" s="133"/>
      <c r="X736" s="135"/>
    </row>
    <row r="737" customFormat="false" ht="12" hidden="false" customHeight="false" outlineLevel="0" collapsed="false">
      <c r="H737" s="133"/>
      <c r="X737" s="135"/>
    </row>
    <row r="738" customFormat="false" ht="12" hidden="false" customHeight="false" outlineLevel="0" collapsed="false">
      <c r="H738" s="133"/>
      <c r="X738" s="135"/>
    </row>
    <row r="739" customFormat="false" ht="12" hidden="false" customHeight="false" outlineLevel="0" collapsed="false">
      <c r="H739" s="133"/>
      <c r="X739" s="135"/>
    </row>
    <row r="740" customFormat="false" ht="12" hidden="false" customHeight="false" outlineLevel="0" collapsed="false">
      <c r="H740" s="133"/>
      <c r="X740" s="135"/>
    </row>
    <row r="741" customFormat="false" ht="12" hidden="false" customHeight="false" outlineLevel="0" collapsed="false">
      <c r="H741" s="133"/>
      <c r="X741" s="135"/>
    </row>
    <row r="742" customFormat="false" ht="12" hidden="false" customHeight="false" outlineLevel="0" collapsed="false">
      <c r="H742" s="133"/>
      <c r="X742" s="135"/>
    </row>
    <row r="743" customFormat="false" ht="12" hidden="false" customHeight="false" outlineLevel="0" collapsed="false">
      <c r="H743" s="133"/>
      <c r="X743" s="135"/>
    </row>
    <row r="744" customFormat="false" ht="12" hidden="false" customHeight="false" outlineLevel="0" collapsed="false">
      <c r="H744" s="133"/>
      <c r="X744" s="135"/>
    </row>
    <row r="745" customFormat="false" ht="12" hidden="false" customHeight="false" outlineLevel="0" collapsed="false">
      <c r="H745" s="133"/>
      <c r="X745" s="135"/>
    </row>
    <row r="746" customFormat="false" ht="12" hidden="false" customHeight="false" outlineLevel="0" collapsed="false">
      <c r="H746" s="133"/>
      <c r="X746" s="135"/>
    </row>
    <row r="747" customFormat="false" ht="12" hidden="false" customHeight="false" outlineLevel="0" collapsed="false">
      <c r="H747" s="133"/>
      <c r="X747" s="135"/>
    </row>
    <row r="748" customFormat="false" ht="12" hidden="false" customHeight="false" outlineLevel="0" collapsed="false">
      <c r="H748" s="133"/>
      <c r="X748" s="135"/>
    </row>
    <row r="749" customFormat="false" ht="12" hidden="false" customHeight="false" outlineLevel="0" collapsed="false">
      <c r="H749" s="133"/>
      <c r="X749" s="135"/>
    </row>
    <row r="750" customFormat="false" ht="12" hidden="false" customHeight="false" outlineLevel="0" collapsed="false">
      <c r="H750" s="133"/>
      <c r="X750" s="135"/>
    </row>
    <row r="751" customFormat="false" ht="12" hidden="false" customHeight="false" outlineLevel="0" collapsed="false">
      <c r="H751" s="133"/>
      <c r="X751" s="135"/>
    </row>
    <row r="752" customFormat="false" ht="12" hidden="false" customHeight="false" outlineLevel="0" collapsed="false">
      <c r="H752" s="133"/>
      <c r="X752" s="135"/>
    </row>
    <row r="753" customFormat="false" ht="12" hidden="false" customHeight="false" outlineLevel="0" collapsed="false">
      <c r="H753" s="133"/>
      <c r="X753" s="135"/>
    </row>
    <row r="754" customFormat="false" ht="12" hidden="false" customHeight="false" outlineLevel="0" collapsed="false">
      <c r="H754" s="133"/>
      <c r="X754" s="135"/>
    </row>
    <row r="755" customFormat="false" ht="12" hidden="false" customHeight="false" outlineLevel="0" collapsed="false">
      <c r="H755" s="133"/>
      <c r="X755" s="135"/>
    </row>
    <row r="756" customFormat="false" ht="12" hidden="false" customHeight="false" outlineLevel="0" collapsed="false">
      <c r="H756" s="133"/>
      <c r="X756" s="135"/>
    </row>
    <row r="757" customFormat="false" ht="12" hidden="false" customHeight="false" outlineLevel="0" collapsed="false">
      <c r="H757" s="133"/>
      <c r="X757" s="135"/>
    </row>
    <row r="758" customFormat="false" ht="12" hidden="false" customHeight="false" outlineLevel="0" collapsed="false">
      <c r="H758" s="133"/>
      <c r="X758" s="135"/>
    </row>
    <row r="759" customFormat="false" ht="12" hidden="false" customHeight="false" outlineLevel="0" collapsed="false">
      <c r="H759" s="133"/>
      <c r="X759" s="135"/>
    </row>
    <row r="760" customFormat="false" ht="12" hidden="false" customHeight="false" outlineLevel="0" collapsed="false">
      <c r="H760" s="133"/>
      <c r="X760" s="135"/>
    </row>
    <row r="761" customFormat="false" ht="12" hidden="false" customHeight="false" outlineLevel="0" collapsed="false">
      <c r="H761" s="133"/>
      <c r="X761" s="135"/>
    </row>
    <row r="762" customFormat="false" ht="12" hidden="false" customHeight="false" outlineLevel="0" collapsed="false">
      <c r="H762" s="133"/>
      <c r="X762" s="135"/>
    </row>
    <row r="763" customFormat="false" ht="12" hidden="false" customHeight="false" outlineLevel="0" collapsed="false">
      <c r="H763" s="133"/>
      <c r="X763" s="135"/>
    </row>
    <row r="764" customFormat="false" ht="12" hidden="false" customHeight="false" outlineLevel="0" collapsed="false">
      <c r="H764" s="133"/>
      <c r="X764" s="135"/>
    </row>
    <row r="765" customFormat="false" ht="12" hidden="false" customHeight="false" outlineLevel="0" collapsed="false">
      <c r="H765" s="133"/>
      <c r="X765" s="135"/>
    </row>
    <row r="766" customFormat="false" ht="12" hidden="false" customHeight="false" outlineLevel="0" collapsed="false">
      <c r="H766" s="133"/>
      <c r="X766" s="135"/>
    </row>
    <row r="767" customFormat="false" ht="12" hidden="false" customHeight="false" outlineLevel="0" collapsed="false">
      <c r="H767" s="133"/>
      <c r="X767" s="135"/>
    </row>
    <row r="768" customFormat="false" ht="12" hidden="false" customHeight="false" outlineLevel="0" collapsed="false">
      <c r="H768" s="133"/>
      <c r="X768" s="135"/>
    </row>
    <row r="769" customFormat="false" ht="12" hidden="false" customHeight="false" outlineLevel="0" collapsed="false">
      <c r="H769" s="133"/>
      <c r="X769" s="135"/>
    </row>
    <row r="770" customFormat="false" ht="12" hidden="false" customHeight="false" outlineLevel="0" collapsed="false">
      <c r="H770" s="133"/>
      <c r="X770" s="135"/>
    </row>
    <row r="771" customFormat="false" ht="12" hidden="false" customHeight="false" outlineLevel="0" collapsed="false">
      <c r="H771" s="133"/>
      <c r="X771" s="135"/>
    </row>
    <row r="772" customFormat="false" ht="12" hidden="false" customHeight="false" outlineLevel="0" collapsed="false">
      <c r="H772" s="133"/>
      <c r="X772" s="135"/>
    </row>
    <row r="773" customFormat="false" ht="12" hidden="false" customHeight="false" outlineLevel="0" collapsed="false">
      <c r="H773" s="133"/>
      <c r="X773" s="135"/>
    </row>
    <row r="774" customFormat="false" ht="12" hidden="false" customHeight="false" outlineLevel="0" collapsed="false">
      <c r="H774" s="133"/>
      <c r="X774" s="135"/>
    </row>
    <row r="775" customFormat="false" ht="12" hidden="false" customHeight="false" outlineLevel="0" collapsed="false">
      <c r="H775" s="133"/>
      <c r="X775" s="135"/>
    </row>
    <row r="776" customFormat="false" ht="12" hidden="false" customHeight="false" outlineLevel="0" collapsed="false">
      <c r="H776" s="133"/>
      <c r="X776" s="135"/>
    </row>
    <row r="777" customFormat="false" ht="12" hidden="false" customHeight="false" outlineLevel="0" collapsed="false">
      <c r="H777" s="133"/>
      <c r="X777" s="135"/>
    </row>
    <row r="778" customFormat="false" ht="12" hidden="false" customHeight="false" outlineLevel="0" collapsed="false">
      <c r="H778" s="133"/>
      <c r="X778" s="135"/>
    </row>
    <row r="779" customFormat="false" ht="12" hidden="false" customHeight="false" outlineLevel="0" collapsed="false">
      <c r="H779" s="133"/>
      <c r="X779" s="135"/>
    </row>
    <row r="780" customFormat="false" ht="12" hidden="false" customHeight="false" outlineLevel="0" collapsed="false">
      <c r="H780" s="133"/>
      <c r="X780" s="135"/>
    </row>
    <row r="781" customFormat="false" ht="12" hidden="false" customHeight="false" outlineLevel="0" collapsed="false">
      <c r="H781" s="133"/>
      <c r="X781" s="135"/>
    </row>
    <row r="782" customFormat="false" ht="12" hidden="false" customHeight="false" outlineLevel="0" collapsed="false">
      <c r="H782" s="133"/>
      <c r="X782" s="135"/>
    </row>
    <row r="783" customFormat="false" ht="12" hidden="false" customHeight="false" outlineLevel="0" collapsed="false">
      <c r="H783" s="133"/>
      <c r="X783" s="135"/>
    </row>
    <row r="784" customFormat="false" ht="12" hidden="false" customHeight="false" outlineLevel="0" collapsed="false">
      <c r="H784" s="133"/>
      <c r="X784" s="135"/>
    </row>
    <row r="785" customFormat="false" ht="12" hidden="false" customHeight="false" outlineLevel="0" collapsed="false">
      <c r="H785" s="133"/>
      <c r="X785" s="135"/>
    </row>
    <row r="786" customFormat="false" ht="12" hidden="false" customHeight="false" outlineLevel="0" collapsed="false">
      <c r="H786" s="133"/>
      <c r="X786" s="135"/>
    </row>
    <row r="787" customFormat="false" ht="12" hidden="false" customHeight="false" outlineLevel="0" collapsed="false">
      <c r="H787" s="133"/>
      <c r="X787" s="135"/>
    </row>
    <row r="788" customFormat="false" ht="12" hidden="false" customHeight="false" outlineLevel="0" collapsed="false">
      <c r="H788" s="133"/>
      <c r="X788" s="135"/>
    </row>
    <row r="789" customFormat="false" ht="12" hidden="false" customHeight="false" outlineLevel="0" collapsed="false">
      <c r="H789" s="133"/>
      <c r="X789" s="135"/>
    </row>
    <row r="790" customFormat="false" ht="12" hidden="false" customHeight="false" outlineLevel="0" collapsed="false">
      <c r="H790" s="133"/>
      <c r="X790" s="135"/>
    </row>
    <row r="791" customFormat="false" ht="12" hidden="false" customHeight="false" outlineLevel="0" collapsed="false">
      <c r="H791" s="133"/>
      <c r="X791" s="135"/>
    </row>
    <row r="792" customFormat="false" ht="12" hidden="false" customHeight="false" outlineLevel="0" collapsed="false">
      <c r="H792" s="133"/>
      <c r="X792" s="135"/>
    </row>
    <row r="793" customFormat="false" ht="12" hidden="false" customHeight="false" outlineLevel="0" collapsed="false">
      <c r="H793" s="133"/>
      <c r="X793" s="135"/>
    </row>
    <row r="794" customFormat="false" ht="12" hidden="false" customHeight="false" outlineLevel="0" collapsed="false">
      <c r="H794" s="133"/>
      <c r="X794" s="135"/>
    </row>
    <row r="795" customFormat="false" ht="12" hidden="false" customHeight="false" outlineLevel="0" collapsed="false">
      <c r="H795" s="133"/>
      <c r="X795" s="135"/>
    </row>
    <row r="796" customFormat="false" ht="12" hidden="false" customHeight="false" outlineLevel="0" collapsed="false">
      <c r="H796" s="133"/>
      <c r="X796" s="135"/>
    </row>
    <row r="797" customFormat="false" ht="12" hidden="false" customHeight="false" outlineLevel="0" collapsed="false">
      <c r="H797" s="133"/>
      <c r="X797" s="135"/>
    </row>
    <row r="798" customFormat="false" ht="12" hidden="false" customHeight="false" outlineLevel="0" collapsed="false">
      <c r="H798" s="133"/>
      <c r="X798" s="135"/>
    </row>
    <row r="799" customFormat="false" ht="12" hidden="false" customHeight="false" outlineLevel="0" collapsed="false">
      <c r="H799" s="133"/>
      <c r="X799" s="135"/>
    </row>
    <row r="800" customFormat="false" ht="12" hidden="false" customHeight="false" outlineLevel="0" collapsed="false">
      <c r="H800" s="133"/>
      <c r="X800" s="135"/>
    </row>
    <row r="801" customFormat="false" ht="12" hidden="false" customHeight="false" outlineLevel="0" collapsed="false">
      <c r="H801" s="133"/>
      <c r="X801" s="135"/>
    </row>
    <row r="802" customFormat="false" ht="12" hidden="false" customHeight="false" outlineLevel="0" collapsed="false">
      <c r="H802" s="133"/>
      <c r="X802" s="135"/>
    </row>
    <row r="803" customFormat="false" ht="12" hidden="false" customHeight="false" outlineLevel="0" collapsed="false">
      <c r="H803" s="133"/>
      <c r="X803" s="135"/>
    </row>
    <row r="804" customFormat="false" ht="12" hidden="false" customHeight="false" outlineLevel="0" collapsed="false">
      <c r="H804" s="133"/>
      <c r="X804" s="135"/>
    </row>
    <row r="805" customFormat="false" ht="12" hidden="false" customHeight="false" outlineLevel="0" collapsed="false">
      <c r="H805" s="133"/>
      <c r="X805" s="135"/>
    </row>
    <row r="806" customFormat="false" ht="12" hidden="false" customHeight="false" outlineLevel="0" collapsed="false">
      <c r="H806" s="133"/>
      <c r="X806" s="135"/>
    </row>
    <row r="807" customFormat="false" ht="12" hidden="false" customHeight="false" outlineLevel="0" collapsed="false">
      <c r="H807" s="133"/>
      <c r="X807" s="135"/>
    </row>
    <row r="808" customFormat="false" ht="12" hidden="false" customHeight="false" outlineLevel="0" collapsed="false">
      <c r="H808" s="133"/>
      <c r="X808" s="135"/>
    </row>
    <row r="809" customFormat="false" ht="12" hidden="false" customHeight="false" outlineLevel="0" collapsed="false">
      <c r="H809" s="133"/>
      <c r="X809" s="135"/>
    </row>
    <row r="810" customFormat="false" ht="12" hidden="false" customHeight="false" outlineLevel="0" collapsed="false">
      <c r="H810" s="133"/>
      <c r="X810" s="135"/>
    </row>
    <row r="811" customFormat="false" ht="12" hidden="false" customHeight="false" outlineLevel="0" collapsed="false">
      <c r="H811" s="133"/>
      <c r="X811" s="135"/>
    </row>
    <row r="812" customFormat="false" ht="12" hidden="false" customHeight="false" outlineLevel="0" collapsed="false">
      <c r="H812" s="133"/>
      <c r="X812" s="135"/>
    </row>
    <row r="813" customFormat="false" ht="12" hidden="false" customHeight="false" outlineLevel="0" collapsed="false">
      <c r="H813" s="133"/>
      <c r="X813" s="135"/>
    </row>
    <row r="814" customFormat="false" ht="12" hidden="false" customHeight="false" outlineLevel="0" collapsed="false">
      <c r="H814" s="133"/>
      <c r="X814" s="135"/>
    </row>
    <row r="815" customFormat="false" ht="12" hidden="false" customHeight="false" outlineLevel="0" collapsed="false">
      <c r="H815" s="133"/>
      <c r="X815" s="135"/>
    </row>
    <row r="816" customFormat="false" ht="12" hidden="false" customHeight="false" outlineLevel="0" collapsed="false">
      <c r="H816" s="133"/>
      <c r="X816" s="135"/>
    </row>
    <row r="817" customFormat="false" ht="12" hidden="false" customHeight="false" outlineLevel="0" collapsed="false">
      <c r="H817" s="133"/>
      <c r="X817" s="135"/>
    </row>
    <row r="818" customFormat="false" ht="12" hidden="false" customHeight="false" outlineLevel="0" collapsed="false">
      <c r="H818" s="133"/>
      <c r="X818" s="135"/>
    </row>
    <row r="819" customFormat="false" ht="12" hidden="false" customHeight="false" outlineLevel="0" collapsed="false">
      <c r="H819" s="133"/>
      <c r="X819" s="135"/>
    </row>
    <row r="820" customFormat="false" ht="12" hidden="false" customHeight="false" outlineLevel="0" collapsed="false">
      <c r="H820" s="133"/>
      <c r="X820" s="135"/>
    </row>
    <row r="821" customFormat="false" ht="12" hidden="false" customHeight="false" outlineLevel="0" collapsed="false">
      <c r="H821" s="133"/>
      <c r="X821" s="135"/>
    </row>
    <row r="822" customFormat="false" ht="12" hidden="false" customHeight="false" outlineLevel="0" collapsed="false">
      <c r="H822" s="133"/>
      <c r="X822" s="135"/>
    </row>
    <row r="823" customFormat="false" ht="12" hidden="false" customHeight="false" outlineLevel="0" collapsed="false">
      <c r="H823" s="133"/>
      <c r="X823" s="135"/>
    </row>
    <row r="824" customFormat="false" ht="12" hidden="false" customHeight="false" outlineLevel="0" collapsed="false">
      <c r="H824" s="133"/>
      <c r="X824" s="135"/>
    </row>
    <row r="825" customFormat="false" ht="12" hidden="false" customHeight="false" outlineLevel="0" collapsed="false">
      <c r="H825" s="133"/>
      <c r="X825" s="135"/>
    </row>
    <row r="826" customFormat="false" ht="12" hidden="false" customHeight="false" outlineLevel="0" collapsed="false">
      <c r="H826" s="133"/>
      <c r="X826" s="135"/>
    </row>
    <row r="827" customFormat="false" ht="12" hidden="false" customHeight="false" outlineLevel="0" collapsed="false">
      <c r="H827" s="133"/>
      <c r="X827" s="135"/>
    </row>
    <row r="828" customFormat="false" ht="12" hidden="false" customHeight="false" outlineLevel="0" collapsed="false">
      <c r="H828" s="133"/>
      <c r="X828" s="135"/>
    </row>
    <row r="829" customFormat="false" ht="12" hidden="false" customHeight="false" outlineLevel="0" collapsed="false">
      <c r="H829" s="133"/>
      <c r="X829" s="135"/>
    </row>
    <row r="830" customFormat="false" ht="12" hidden="false" customHeight="false" outlineLevel="0" collapsed="false">
      <c r="H830" s="133"/>
      <c r="X830" s="135"/>
    </row>
    <row r="831" customFormat="false" ht="12" hidden="false" customHeight="false" outlineLevel="0" collapsed="false">
      <c r="H831" s="133"/>
      <c r="X831" s="135"/>
    </row>
    <row r="832" customFormat="false" ht="12" hidden="false" customHeight="false" outlineLevel="0" collapsed="false">
      <c r="H832" s="133"/>
      <c r="X832" s="135"/>
    </row>
    <row r="833" customFormat="false" ht="12" hidden="false" customHeight="false" outlineLevel="0" collapsed="false">
      <c r="H833" s="133"/>
      <c r="X833" s="135"/>
    </row>
    <row r="834" customFormat="false" ht="12" hidden="false" customHeight="false" outlineLevel="0" collapsed="false">
      <c r="H834" s="133"/>
      <c r="X834" s="135"/>
    </row>
    <row r="835" customFormat="false" ht="12" hidden="false" customHeight="false" outlineLevel="0" collapsed="false">
      <c r="H835" s="133"/>
      <c r="X835" s="135"/>
    </row>
    <row r="836" customFormat="false" ht="12" hidden="false" customHeight="false" outlineLevel="0" collapsed="false">
      <c r="H836" s="133"/>
      <c r="X836" s="135"/>
    </row>
    <row r="837" customFormat="false" ht="12" hidden="false" customHeight="false" outlineLevel="0" collapsed="false">
      <c r="H837" s="133"/>
      <c r="X837" s="135"/>
    </row>
    <row r="838" customFormat="false" ht="12" hidden="false" customHeight="false" outlineLevel="0" collapsed="false">
      <c r="H838" s="133"/>
      <c r="X838" s="135"/>
    </row>
    <row r="839" customFormat="false" ht="12" hidden="false" customHeight="false" outlineLevel="0" collapsed="false">
      <c r="H839" s="133"/>
      <c r="X839" s="135"/>
    </row>
    <row r="840" customFormat="false" ht="12" hidden="false" customHeight="false" outlineLevel="0" collapsed="false">
      <c r="H840" s="133"/>
      <c r="X840" s="135"/>
    </row>
    <row r="841" customFormat="false" ht="12" hidden="false" customHeight="false" outlineLevel="0" collapsed="false">
      <c r="H841" s="133"/>
      <c r="X841" s="135"/>
    </row>
    <row r="842" customFormat="false" ht="12" hidden="false" customHeight="false" outlineLevel="0" collapsed="false">
      <c r="H842" s="133"/>
      <c r="X842" s="135"/>
    </row>
    <row r="843" customFormat="false" ht="12" hidden="false" customHeight="false" outlineLevel="0" collapsed="false">
      <c r="H843" s="133"/>
      <c r="X843" s="135"/>
    </row>
    <row r="844" customFormat="false" ht="12" hidden="false" customHeight="false" outlineLevel="0" collapsed="false">
      <c r="H844" s="133"/>
      <c r="X844" s="135"/>
    </row>
    <row r="845" customFormat="false" ht="12" hidden="false" customHeight="false" outlineLevel="0" collapsed="false">
      <c r="H845" s="133"/>
      <c r="X845" s="135"/>
    </row>
    <row r="846" customFormat="false" ht="12" hidden="false" customHeight="false" outlineLevel="0" collapsed="false">
      <c r="H846" s="133"/>
      <c r="X846" s="135"/>
    </row>
    <row r="847" customFormat="false" ht="12" hidden="false" customHeight="false" outlineLevel="0" collapsed="false">
      <c r="H847" s="133"/>
      <c r="X847" s="135"/>
    </row>
    <row r="848" customFormat="false" ht="12" hidden="false" customHeight="false" outlineLevel="0" collapsed="false">
      <c r="H848" s="133"/>
      <c r="X848" s="135"/>
    </row>
    <row r="849" customFormat="false" ht="12" hidden="false" customHeight="false" outlineLevel="0" collapsed="false">
      <c r="H849" s="133"/>
      <c r="X849" s="135"/>
    </row>
    <row r="850" customFormat="false" ht="12" hidden="false" customHeight="false" outlineLevel="0" collapsed="false">
      <c r="H850" s="133"/>
      <c r="X850" s="135"/>
    </row>
    <row r="851" customFormat="false" ht="12" hidden="false" customHeight="false" outlineLevel="0" collapsed="false">
      <c r="H851" s="133"/>
      <c r="X851" s="135"/>
    </row>
    <row r="852" customFormat="false" ht="12" hidden="false" customHeight="false" outlineLevel="0" collapsed="false">
      <c r="H852" s="133"/>
      <c r="X852" s="135"/>
    </row>
    <row r="853" customFormat="false" ht="12" hidden="false" customHeight="false" outlineLevel="0" collapsed="false">
      <c r="H853" s="133"/>
      <c r="X853" s="135"/>
    </row>
    <row r="854" customFormat="false" ht="12" hidden="false" customHeight="false" outlineLevel="0" collapsed="false">
      <c r="H854" s="133"/>
      <c r="X854" s="135"/>
    </row>
    <row r="855" customFormat="false" ht="12" hidden="false" customHeight="false" outlineLevel="0" collapsed="false">
      <c r="H855" s="133"/>
      <c r="X855" s="135"/>
    </row>
    <row r="856" customFormat="false" ht="12" hidden="false" customHeight="false" outlineLevel="0" collapsed="false">
      <c r="H856" s="133"/>
      <c r="X856" s="135"/>
    </row>
    <row r="857" customFormat="false" ht="12" hidden="false" customHeight="false" outlineLevel="0" collapsed="false">
      <c r="H857" s="133"/>
      <c r="X857" s="135"/>
    </row>
    <row r="858" customFormat="false" ht="12" hidden="false" customHeight="false" outlineLevel="0" collapsed="false">
      <c r="H858" s="133"/>
      <c r="X858" s="135"/>
    </row>
    <row r="859" customFormat="false" ht="12" hidden="false" customHeight="false" outlineLevel="0" collapsed="false">
      <c r="H859" s="133"/>
      <c r="X859" s="135"/>
    </row>
    <row r="860" customFormat="false" ht="12" hidden="false" customHeight="false" outlineLevel="0" collapsed="false">
      <c r="H860" s="133"/>
      <c r="X860" s="135"/>
    </row>
    <row r="861" customFormat="false" ht="12" hidden="false" customHeight="false" outlineLevel="0" collapsed="false">
      <c r="H861" s="133"/>
      <c r="X861" s="135"/>
    </row>
    <row r="862" customFormat="false" ht="12" hidden="false" customHeight="false" outlineLevel="0" collapsed="false">
      <c r="H862" s="133"/>
      <c r="X862" s="135"/>
    </row>
    <row r="863" customFormat="false" ht="12" hidden="false" customHeight="false" outlineLevel="0" collapsed="false">
      <c r="H863" s="133"/>
      <c r="X863" s="135"/>
    </row>
    <row r="864" customFormat="false" ht="12" hidden="false" customHeight="false" outlineLevel="0" collapsed="false">
      <c r="H864" s="133"/>
      <c r="X864" s="135"/>
    </row>
    <row r="865" customFormat="false" ht="12" hidden="false" customHeight="false" outlineLevel="0" collapsed="false">
      <c r="H865" s="133"/>
      <c r="X865" s="135"/>
    </row>
    <row r="866" customFormat="false" ht="12" hidden="false" customHeight="false" outlineLevel="0" collapsed="false">
      <c r="H866" s="133"/>
      <c r="X866" s="135"/>
    </row>
    <row r="867" customFormat="false" ht="12" hidden="false" customHeight="false" outlineLevel="0" collapsed="false">
      <c r="H867" s="133"/>
      <c r="X867" s="135"/>
    </row>
    <row r="868" customFormat="false" ht="12" hidden="false" customHeight="false" outlineLevel="0" collapsed="false">
      <c r="H868" s="133"/>
      <c r="X868" s="135"/>
    </row>
    <row r="869" customFormat="false" ht="12" hidden="false" customHeight="false" outlineLevel="0" collapsed="false">
      <c r="H869" s="133"/>
      <c r="X869" s="135"/>
    </row>
    <row r="870" customFormat="false" ht="12" hidden="false" customHeight="false" outlineLevel="0" collapsed="false">
      <c r="H870" s="133"/>
      <c r="X870" s="135"/>
    </row>
    <row r="871" customFormat="false" ht="12" hidden="false" customHeight="false" outlineLevel="0" collapsed="false">
      <c r="H871" s="133"/>
      <c r="X871" s="135"/>
    </row>
    <row r="872" customFormat="false" ht="12" hidden="false" customHeight="false" outlineLevel="0" collapsed="false">
      <c r="H872" s="133"/>
      <c r="X872" s="135"/>
    </row>
    <row r="873" customFormat="false" ht="12" hidden="false" customHeight="false" outlineLevel="0" collapsed="false">
      <c r="H873" s="133"/>
      <c r="X873" s="135"/>
    </row>
    <row r="874" customFormat="false" ht="12" hidden="false" customHeight="false" outlineLevel="0" collapsed="false">
      <c r="H874" s="133"/>
      <c r="X874" s="135"/>
    </row>
    <row r="875" customFormat="false" ht="12" hidden="false" customHeight="false" outlineLevel="0" collapsed="false">
      <c r="H875" s="133"/>
      <c r="X875" s="135"/>
    </row>
    <row r="876" customFormat="false" ht="12" hidden="false" customHeight="false" outlineLevel="0" collapsed="false">
      <c r="H876" s="133"/>
      <c r="X876" s="135"/>
    </row>
    <row r="877" customFormat="false" ht="12" hidden="false" customHeight="false" outlineLevel="0" collapsed="false">
      <c r="H877" s="133"/>
      <c r="X877" s="135"/>
    </row>
    <row r="878" customFormat="false" ht="12" hidden="false" customHeight="false" outlineLevel="0" collapsed="false">
      <c r="H878" s="133"/>
      <c r="X878" s="135"/>
    </row>
    <row r="879" customFormat="false" ht="12" hidden="false" customHeight="false" outlineLevel="0" collapsed="false">
      <c r="H879" s="133"/>
      <c r="X879" s="135"/>
    </row>
    <row r="880" customFormat="false" ht="12" hidden="false" customHeight="false" outlineLevel="0" collapsed="false">
      <c r="H880" s="133"/>
      <c r="X880" s="135"/>
    </row>
    <row r="881" customFormat="false" ht="12" hidden="false" customHeight="false" outlineLevel="0" collapsed="false">
      <c r="H881" s="133"/>
      <c r="X881" s="135"/>
    </row>
    <row r="882" customFormat="false" ht="12" hidden="false" customHeight="false" outlineLevel="0" collapsed="false">
      <c r="H882" s="133"/>
      <c r="X882" s="135"/>
    </row>
    <row r="883" customFormat="false" ht="12" hidden="false" customHeight="false" outlineLevel="0" collapsed="false">
      <c r="H883" s="133"/>
      <c r="X883" s="135"/>
    </row>
    <row r="884" customFormat="false" ht="12" hidden="false" customHeight="false" outlineLevel="0" collapsed="false">
      <c r="H884" s="133"/>
      <c r="X884" s="135"/>
    </row>
    <row r="885" customFormat="false" ht="12" hidden="false" customHeight="false" outlineLevel="0" collapsed="false">
      <c r="H885" s="133"/>
      <c r="X885" s="135"/>
    </row>
    <row r="886" customFormat="false" ht="12" hidden="false" customHeight="false" outlineLevel="0" collapsed="false">
      <c r="H886" s="133"/>
      <c r="X886" s="135"/>
    </row>
    <row r="887" customFormat="false" ht="12" hidden="false" customHeight="false" outlineLevel="0" collapsed="false">
      <c r="H887" s="133"/>
      <c r="X887" s="135"/>
    </row>
    <row r="888" customFormat="false" ht="12" hidden="false" customHeight="false" outlineLevel="0" collapsed="false">
      <c r="H888" s="133"/>
      <c r="X888" s="135"/>
    </row>
    <row r="889" customFormat="false" ht="12" hidden="false" customHeight="false" outlineLevel="0" collapsed="false">
      <c r="H889" s="133"/>
      <c r="X889" s="135"/>
    </row>
    <row r="890" customFormat="false" ht="12" hidden="false" customHeight="false" outlineLevel="0" collapsed="false">
      <c r="H890" s="133"/>
      <c r="X890" s="135"/>
    </row>
    <row r="891" customFormat="false" ht="12" hidden="false" customHeight="false" outlineLevel="0" collapsed="false">
      <c r="H891" s="133"/>
      <c r="X891" s="135"/>
    </row>
    <row r="892" customFormat="false" ht="12" hidden="false" customHeight="false" outlineLevel="0" collapsed="false">
      <c r="H892" s="133"/>
      <c r="X892" s="135"/>
    </row>
    <row r="893" customFormat="false" ht="12" hidden="false" customHeight="false" outlineLevel="0" collapsed="false">
      <c r="H893" s="133"/>
      <c r="X893" s="135"/>
    </row>
    <row r="894" customFormat="false" ht="12" hidden="false" customHeight="false" outlineLevel="0" collapsed="false">
      <c r="H894" s="133"/>
      <c r="X894" s="135"/>
    </row>
    <row r="895" customFormat="false" ht="12" hidden="false" customHeight="false" outlineLevel="0" collapsed="false">
      <c r="H895" s="133"/>
      <c r="X895" s="135"/>
    </row>
    <row r="896" customFormat="false" ht="12" hidden="false" customHeight="false" outlineLevel="0" collapsed="false">
      <c r="H896" s="133"/>
      <c r="X896" s="135"/>
    </row>
    <row r="897" customFormat="false" ht="12" hidden="false" customHeight="false" outlineLevel="0" collapsed="false">
      <c r="H897" s="133"/>
      <c r="X897" s="135"/>
    </row>
    <row r="898" customFormat="false" ht="12" hidden="false" customHeight="false" outlineLevel="0" collapsed="false">
      <c r="H898" s="133"/>
      <c r="X898" s="135"/>
    </row>
    <row r="899" customFormat="false" ht="12" hidden="false" customHeight="false" outlineLevel="0" collapsed="false">
      <c r="H899" s="133"/>
      <c r="X899" s="135"/>
    </row>
    <row r="900" customFormat="false" ht="12" hidden="false" customHeight="false" outlineLevel="0" collapsed="false">
      <c r="H900" s="133"/>
      <c r="X900" s="135"/>
    </row>
    <row r="901" customFormat="false" ht="12" hidden="false" customHeight="false" outlineLevel="0" collapsed="false">
      <c r="H901" s="133"/>
      <c r="X901" s="135"/>
    </row>
    <row r="902" customFormat="false" ht="12" hidden="false" customHeight="false" outlineLevel="0" collapsed="false">
      <c r="H902" s="133"/>
      <c r="X902" s="135"/>
    </row>
    <row r="903" customFormat="false" ht="12" hidden="false" customHeight="false" outlineLevel="0" collapsed="false">
      <c r="H903" s="133"/>
      <c r="X903" s="135"/>
    </row>
    <row r="904" customFormat="false" ht="12" hidden="false" customHeight="false" outlineLevel="0" collapsed="false">
      <c r="H904" s="133"/>
      <c r="X904" s="135"/>
    </row>
    <row r="905" customFormat="false" ht="12" hidden="false" customHeight="false" outlineLevel="0" collapsed="false">
      <c r="H905" s="133"/>
      <c r="X905" s="135"/>
    </row>
    <row r="906" customFormat="false" ht="12" hidden="false" customHeight="false" outlineLevel="0" collapsed="false">
      <c r="H906" s="133"/>
      <c r="X906" s="135"/>
    </row>
    <row r="907" customFormat="false" ht="12" hidden="false" customHeight="false" outlineLevel="0" collapsed="false">
      <c r="H907" s="133"/>
      <c r="X907" s="135"/>
    </row>
    <row r="908" customFormat="false" ht="12" hidden="false" customHeight="false" outlineLevel="0" collapsed="false">
      <c r="H908" s="133"/>
      <c r="X908" s="135"/>
    </row>
    <row r="909" customFormat="false" ht="12" hidden="false" customHeight="false" outlineLevel="0" collapsed="false">
      <c r="H909" s="133"/>
      <c r="X909" s="135"/>
    </row>
    <row r="910" customFormat="false" ht="12" hidden="false" customHeight="false" outlineLevel="0" collapsed="false">
      <c r="H910" s="133"/>
      <c r="X910" s="135"/>
    </row>
    <row r="911" customFormat="false" ht="12" hidden="false" customHeight="false" outlineLevel="0" collapsed="false">
      <c r="H911" s="133"/>
      <c r="X911" s="135"/>
    </row>
    <row r="912" customFormat="false" ht="12" hidden="false" customHeight="false" outlineLevel="0" collapsed="false">
      <c r="H912" s="133"/>
      <c r="X912" s="135"/>
    </row>
    <row r="913" customFormat="false" ht="12" hidden="false" customHeight="false" outlineLevel="0" collapsed="false">
      <c r="H913" s="133"/>
      <c r="X913" s="135"/>
    </row>
    <row r="914" customFormat="false" ht="12" hidden="false" customHeight="false" outlineLevel="0" collapsed="false">
      <c r="H914" s="133"/>
      <c r="X914" s="135"/>
    </row>
    <row r="915" customFormat="false" ht="12" hidden="false" customHeight="false" outlineLevel="0" collapsed="false">
      <c r="H915" s="133"/>
      <c r="X915" s="135"/>
    </row>
    <row r="916" customFormat="false" ht="12" hidden="false" customHeight="false" outlineLevel="0" collapsed="false">
      <c r="H916" s="133"/>
      <c r="X916" s="135"/>
    </row>
    <row r="917" customFormat="false" ht="12" hidden="false" customHeight="false" outlineLevel="0" collapsed="false">
      <c r="H917" s="133"/>
      <c r="X917" s="135"/>
    </row>
    <row r="918" customFormat="false" ht="12" hidden="false" customHeight="false" outlineLevel="0" collapsed="false">
      <c r="H918" s="133"/>
      <c r="X918" s="135"/>
    </row>
    <row r="919" customFormat="false" ht="12" hidden="false" customHeight="false" outlineLevel="0" collapsed="false">
      <c r="H919" s="133"/>
      <c r="X919" s="135"/>
    </row>
    <row r="920" customFormat="false" ht="12" hidden="false" customHeight="false" outlineLevel="0" collapsed="false">
      <c r="H920" s="133"/>
      <c r="X920" s="135"/>
    </row>
    <row r="921" customFormat="false" ht="12" hidden="false" customHeight="false" outlineLevel="0" collapsed="false">
      <c r="H921" s="133"/>
      <c r="X921" s="135"/>
    </row>
    <row r="922" customFormat="false" ht="12" hidden="false" customHeight="false" outlineLevel="0" collapsed="false">
      <c r="H922" s="133"/>
      <c r="X922" s="135"/>
    </row>
    <row r="923" customFormat="false" ht="12" hidden="false" customHeight="false" outlineLevel="0" collapsed="false">
      <c r="H923" s="133"/>
      <c r="X923" s="135"/>
    </row>
    <row r="924" customFormat="false" ht="12" hidden="false" customHeight="false" outlineLevel="0" collapsed="false">
      <c r="H924" s="133"/>
      <c r="X924" s="135"/>
    </row>
    <row r="925" customFormat="false" ht="12" hidden="false" customHeight="false" outlineLevel="0" collapsed="false">
      <c r="H925" s="133"/>
      <c r="X925" s="135"/>
    </row>
    <row r="926" customFormat="false" ht="12" hidden="false" customHeight="false" outlineLevel="0" collapsed="false">
      <c r="H926" s="133"/>
      <c r="X926" s="135"/>
    </row>
    <row r="927" customFormat="false" ht="12" hidden="false" customHeight="false" outlineLevel="0" collapsed="false">
      <c r="H927" s="133"/>
      <c r="X927" s="135"/>
    </row>
    <row r="928" customFormat="false" ht="12" hidden="false" customHeight="false" outlineLevel="0" collapsed="false">
      <c r="H928" s="133"/>
      <c r="X928" s="135"/>
    </row>
    <row r="929" customFormat="false" ht="12" hidden="false" customHeight="false" outlineLevel="0" collapsed="false">
      <c r="H929" s="133"/>
      <c r="X929" s="135"/>
    </row>
    <row r="930" customFormat="false" ht="12" hidden="false" customHeight="false" outlineLevel="0" collapsed="false">
      <c r="H930" s="133"/>
      <c r="X930" s="135"/>
    </row>
    <row r="931" customFormat="false" ht="12" hidden="false" customHeight="false" outlineLevel="0" collapsed="false">
      <c r="H931" s="133"/>
      <c r="X931" s="135"/>
    </row>
    <row r="932" customFormat="false" ht="12" hidden="false" customHeight="false" outlineLevel="0" collapsed="false">
      <c r="H932" s="133"/>
      <c r="X932" s="135"/>
    </row>
    <row r="933" customFormat="false" ht="12" hidden="false" customHeight="false" outlineLevel="0" collapsed="false">
      <c r="H933" s="133"/>
      <c r="X933" s="135"/>
    </row>
    <row r="934" customFormat="false" ht="12" hidden="false" customHeight="false" outlineLevel="0" collapsed="false">
      <c r="H934" s="133"/>
      <c r="X934" s="135"/>
    </row>
    <row r="935" customFormat="false" ht="12" hidden="false" customHeight="false" outlineLevel="0" collapsed="false">
      <c r="H935" s="133"/>
      <c r="X935" s="135"/>
    </row>
    <row r="936" customFormat="false" ht="12" hidden="false" customHeight="false" outlineLevel="0" collapsed="false">
      <c r="H936" s="133"/>
      <c r="X936" s="135"/>
    </row>
    <row r="937" customFormat="false" ht="12" hidden="false" customHeight="false" outlineLevel="0" collapsed="false">
      <c r="H937" s="133"/>
      <c r="X937" s="135"/>
    </row>
    <row r="938" customFormat="false" ht="12" hidden="false" customHeight="false" outlineLevel="0" collapsed="false">
      <c r="H938" s="133"/>
      <c r="X938" s="135"/>
    </row>
    <row r="939" customFormat="false" ht="12" hidden="false" customHeight="false" outlineLevel="0" collapsed="false">
      <c r="H939" s="133"/>
      <c r="X939" s="135"/>
    </row>
    <row r="940" customFormat="false" ht="12" hidden="false" customHeight="false" outlineLevel="0" collapsed="false">
      <c r="H940" s="133"/>
      <c r="X940" s="135"/>
    </row>
    <row r="941" customFormat="false" ht="12" hidden="false" customHeight="false" outlineLevel="0" collapsed="false">
      <c r="H941" s="133"/>
      <c r="X941" s="135"/>
    </row>
    <row r="942" customFormat="false" ht="12" hidden="false" customHeight="false" outlineLevel="0" collapsed="false">
      <c r="H942" s="133"/>
      <c r="X942" s="135"/>
    </row>
    <row r="943" customFormat="false" ht="12" hidden="false" customHeight="false" outlineLevel="0" collapsed="false">
      <c r="H943" s="133"/>
      <c r="X943" s="135"/>
    </row>
    <row r="944" customFormat="false" ht="12" hidden="false" customHeight="false" outlineLevel="0" collapsed="false">
      <c r="H944" s="133"/>
      <c r="X944" s="135"/>
    </row>
    <row r="945" customFormat="false" ht="12" hidden="false" customHeight="false" outlineLevel="0" collapsed="false">
      <c r="H945" s="133"/>
      <c r="X945" s="135"/>
    </row>
    <row r="946" customFormat="false" ht="12" hidden="false" customHeight="false" outlineLevel="0" collapsed="false">
      <c r="H946" s="133"/>
      <c r="X946" s="135"/>
    </row>
    <row r="947" customFormat="false" ht="12" hidden="false" customHeight="false" outlineLevel="0" collapsed="false">
      <c r="H947" s="133"/>
      <c r="X947" s="135"/>
    </row>
    <row r="948" customFormat="false" ht="12" hidden="false" customHeight="false" outlineLevel="0" collapsed="false">
      <c r="H948" s="133"/>
      <c r="X948" s="135"/>
    </row>
    <row r="949" customFormat="false" ht="12" hidden="false" customHeight="false" outlineLevel="0" collapsed="false">
      <c r="H949" s="133"/>
      <c r="X949" s="135"/>
    </row>
    <row r="950" customFormat="false" ht="12" hidden="false" customHeight="false" outlineLevel="0" collapsed="false">
      <c r="H950" s="133"/>
      <c r="X950" s="135"/>
    </row>
    <row r="951" customFormat="false" ht="12" hidden="false" customHeight="false" outlineLevel="0" collapsed="false">
      <c r="H951" s="133"/>
      <c r="X951" s="135"/>
    </row>
    <row r="952" customFormat="false" ht="12" hidden="false" customHeight="false" outlineLevel="0" collapsed="false">
      <c r="H952" s="133"/>
      <c r="X952" s="135"/>
    </row>
    <row r="953" customFormat="false" ht="12" hidden="false" customHeight="false" outlineLevel="0" collapsed="false">
      <c r="H953" s="133"/>
      <c r="X953" s="135"/>
    </row>
    <row r="954" customFormat="false" ht="12" hidden="false" customHeight="false" outlineLevel="0" collapsed="false">
      <c r="H954" s="133"/>
      <c r="X954" s="135"/>
    </row>
    <row r="955" customFormat="false" ht="12" hidden="false" customHeight="false" outlineLevel="0" collapsed="false">
      <c r="H955" s="133"/>
      <c r="X955" s="135"/>
    </row>
    <row r="956" customFormat="false" ht="12" hidden="false" customHeight="false" outlineLevel="0" collapsed="false">
      <c r="H956" s="133"/>
      <c r="X956" s="135"/>
    </row>
    <row r="957" customFormat="false" ht="12" hidden="false" customHeight="false" outlineLevel="0" collapsed="false">
      <c r="H957" s="133"/>
      <c r="X957" s="135"/>
    </row>
    <row r="958" customFormat="false" ht="12" hidden="false" customHeight="false" outlineLevel="0" collapsed="false">
      <c r="H958" s="133"/>
      <c r="X958" s="135"/>
    </row>
    <row r="959" customFormat="false" ht="12" hidden="false" customHeight="false" outlineLevel="0" collapsed="false">
      <c r="H959" s="133"/>
      <c r="X959" s="135"/>
    </row>
    <row r="960" customFormat="false" ht="12" hidden="false" customHeight="false" outlineLevel="0" collapsed="false">
      <c r="H960" s="133"/>
      <c r="X960" s="135"/>
    </row>
    <row r="961" customFormat="false" ht="12" hidden="false" customHeight="false" outlineLevel="0" collapsed="false">
      <c r="H961" s="133"/>
      <c r="X961" s="135"/>
    </row>
    <row r="962" customFormat="false" ht="12" hidden="false" customHeight="false" outlineLevel="0" collapsed="false">
      <c r="H962" s="133"/>
      <c r="X962" s="135"/>
    </row>
    <row r="963" customFormat="false" ht="12" hidden="false" customHeight="false" outlineLevel="0" collapsed="false">
      <c r="H963" s="133"/>
      <c r="X963" s="135"/>
    </row>
    <row r="964" customFormat="false" ht="12" hidden="false" customHeight="false" outlineLevel="0" collapsed="false">
      <c r="H964" s="133"/>
      <c r="X964" s="135"/>
    </row>
    <row r="965" customFormat="false" ht="12" hidden="false" customHeight="false" outlineLevel="0" collapsed="false">
      <c r="H965" s="133"/>
      <c r="X965" s="135"/>
    </row>
    <row r="966" customFormat="false" ht="12" hidden="false" customHeight="false" outlineLevel="0" collapsed="false">
      <c r="H966" s="133"/>
      <c r="X966" s="135"/>
    </row>
    <row r="967" customFormat="false" ht="12" hidden="false" customHeight="false" outlineLevel="0" collapsed="false">
      <c r="H967" s="133"/>
      <c r="X967" s="135"/>
    </row>
    <row r="968" customFormat="false" ht="12" hidden="false" customHeight="false" outlineLevel="0" collapsed="false">
      <c r="H968" s="133"/>
      <c r="X968" s="135"/>
    </row>
    <row r="969" customFormat="false" ht="12" hidden="false" customHeight="false" outlineLevel="0" collapsed="false">
      <c r="H969" s="133"/>
      <c r="X969" s="135"/>
    </row>
    <row r="970" customFormat="false" ht="12" hidden="false" customHeight="false" outlineLevel="0" collapsed="false">
      <c r="H970" s="133"/>
      <c r="X970" s="135"/>
    </row>
  </sheetData>
  <mergeCells count="2">
    <mergeCell ref="O1:U1"/>
    <mergeCell ref="Y1:AB1"/>
  </mergeCells>
  <conditionalFormatting sqref="J4:J8 J10:J15 J17:J19 J21:J24 J26:J28 J30:J34 J38:J40">
    <cfRule type="cellIs" priority="2" operator="greaterThan" aboveAverage="0" equalAverage="0" bottom="0" percent="0" rank="0" text="" dxfId="12">
      <formula>0</formula>
    </cfRule>
    <cfRule type="cellIs" priority="3" operator="lessThan" aboveAverage="0" equalAverage="0" bottom="0" percent="0" rank="0" text="" dxfId="13">
      <formula>0</formula>
    </cfRule>
  </conditionalFormatting>
  <conditionalFormatting sqref="M3:M34 M38:M40">
    <cfRule type="cellIs" priority="4" operator="greaterThan" aboveAverage="0" equalAverage="0" bottom="0" percent="0" rank="0" text="" dxfId="14">
      <formula>100</formula>
    </cfRule>
    <cfRule type="cellIs" priority="5" operator="between" aboveAverage="0" equalAverage="0" bottom="0" percent="0" rank="0" text="" dxfId="15">
      <formula>60</formula>
      <formula>100</formula>
    </cfRule>
  </conditionalFormatting>
  <conditionalFormatting sqref="Q3:Q34 Q38:Q40">
    <cfRule type="cellIs" priority="6" operator="lessThan" aboveAverage="0" equalAverage="0" bottom="0" percent="0" rank="0" text="" dxfId="16">
      <formula>"10%"</formula>
    </cfRule>
  </conditionalFormatting>
  <conditionalFormatting sqref="S3:S34 S38:S40">
    <cfRule type="cellIs" priority="7" operator="lessThan" aboveAverage="0" equalAverage="0" bottom="0" percent="0" rank="0" text="" dxfId="17">
      <formula>"2%"</formula>
    </cfRule>
  </conditionalFormatting>
  <conditionalFormatting sqref="T3:U34 T38:U40">
    <cfRule type="cellIs" priority="8" operator="lessThan" aboveAverage="0" equalAverage="0" bottom="0" percent="0" rank="0" text="" dxfId="18">
      <formula>0</formula>
    </cfRule>
  </conditionalFormatting>
  <conditionalFormatting sqref="V3:V34 V38:V40">
    <cfRule type="cellIs" priority="9" operator="lessThan" aboveAverage="0" equalAverage="0" bottom="0" percent="0" rank="0" text="" dxfId="19">
      <formula>0</formula>
    </cfRule>
  </conditionalFormatting>
  <conditionalFormatting sqref="AD3:AD34 AD38:AD40">
    <cfRule type="cellIs" priority="10" operator="lessThan" aboveAverage="0" equalAverage="0" bottom="0" percent="0" rank="0" text="" dxfId="20">
      <formula>"60%"</formula>
    </cfRule>
  </conditionalFormatting>
  <conditionalFormatting sqref="AE3:AE34 AE38:AE40">
    <cfRule type="cellIs" priority="11" operator="lessThan" aboveAverage="0" equalAverage="0" bottom="0" percent="0" rank="0" text="" dxfId="21">
      <formula>"40%"</formula>
    </cfRule>
  </conditionalFormatting>
  <conditionalFormatting sqref="AF10:AF15 AF38:AF39">
    <cfRule type="cellIs" priority="12" operator="greaterThan" aboveAverage="0" equalAverage="0" bottom="0" percent="0" rank="0" text="" dxfId="22">
      <formula>10</formula>
    </cfRule>
  </conditionalFormatting>
  <conditionalFormatting sqref="AG3:AG34 AG38:AG40">
    <cfRule type="containsText" priority="13" operator="containsText" aboveAverage="0" equalAverage="0" bottom="0" percent="0" rank="0" text="No" dxfId="23">
      <formula>NOT(ISERROR(SEARCH("No",AG3)))</formula>
    </cfRule>
  </conditionalFormatting>
  <conditionalFormatting sqref="AH3:AI34 AH38:AI40">
    <cfRule type="containsText" priority="14" operator="containsText" aboveAverage="0" equalAverage="0" bottom="0" percent="0" rank="0" text="Must Exit" dxfId="24">
      <formula>NOT(ISERROR(SEARCH("Must Exit",AH3)))</formula>
    </cfRule>
    <cfRule type="containsText" priority="15" operator="containsText" aboveAverage="0" equalAverage="0" bottom="0" percent="0" rank="0" text="Exit" dxfId="25">
      <formula>NOT(ISERROR(SEARCH("Exit",AH3)))</formula>
    </cfRule>
  </conditionalFormatting>
  <conditionalFormatting sqref="AC10:AC15 AC38:AC39">
    <cfRule type="cellIs" priority="16" operator="greaterThan" aboveAverage="0" equalAverage="0" bottom="0" percent="0" rank="0" text="" dxfId="26">
      <formula>10</formula>
    </cfRule>
  </conditionalFormatting>
  <conditionalFormatting sqref="AC17:AC19">
    <cfRule type="cellIs" priority="17" operator="greaterThan" aboveAverage="0" equalAverage="0" bottom="0" percent="0" rank="0" text="" dxfId="27">
      <formula>4</formula>
    </cfRule>
  </conditionalFormatting>
  <conditionalFormatting sqref="AC21:AC24">
    <cfRule type="cellIs" priority="18" operator="greaterThan" aboveAverage="0" equalAverage="0" bottom="0" percent="0" rank="0" text="" dxfId="28">
      <formula>4</formula>
    </cfRule>
  </conditionalFormatting>
  <conditionalFormatting sqref="AC26:AC34 AC40">
    <cfRule type="cellIs" priority="19" operator="greaterThan" aboveAverage="0" equalAverage="0" bottom="0" percent="0" rank="0" text="" dxfId="29">
      <formula>4</formula>
    </cfRule>
  </conditionalFormatting>
  <dataValidations count="1">
    <dataValidation allowBlank="true" errorStyle="stop" operator="between" showDropDown="true" showErrorMessage="false" showInputMessage="false" sqref="A3:A34 C3:F34 H3:H34 K3:L34 O3:O34 R3:R34 X3:X34 AC3:AF34" type="custom">
      <formula1>AND(ISNUMBER(A3),(NOT(OR(NOT(ISERROR(DATEVALUE(A3))), AND(ISNUMBER(A3), LEFT(CELL("format", A3))="D")))))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2025-03-05T06:30:44Z</dcterms:created>
  <dc:creator>Abhishek</dc:creator>
  <dc:description/>
  <dc:language>en-IN</dc:language>
  <cp:lastModifiedBy/>
  <dcterms:modified xsi:type="dcterms:W3CDTF">2025-11-02T11:28:31Z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